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up_Macro" sheetId="1" state="visible" r:id="rId3"/>
    <sheet name="Fonte_Dati" sheetId="2" state="visible" r:id="rId4"/>
    <sheet name="DB_Impianti" sheetId="3" state="visible" r:id="rId5"/>
    <sheet name="Dashboard" sheetId="4" state="visible" r:id="rId6"/>
    <sheet name="Produzione" sheetId="5" state="visible" r:id="rId7"/>
    <sheet name="Fatturazione" sheetId="6" state="visible" r:id="rId8"/>
    <sheet name="Ranking" sheetId="7" state="visible" r:id="rId9"/>
    <sheet name="Finanziario" sheetId="8" state="visible" r:id="rId10"/>
    <sheet name="Irraggiamento_PVGIS" sheetId="9" state="visible" r:id="rId11"/>
    <sheet name="SRC_Incentivi" sheetId="10" state="visible" r:id="rId12"/>
    <sheet name="💹 Incentivi" sheetId="11" state="visible" r:id="rId13"/>
    <sheet name="Analisi_Perdite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7" authorId="0">
      <text>
        <r>
          <rPr>
            <sz val="10"/>
            <rFont val="Arial"/>
            <family val="2"/>
          </rPr>
          <t xml:space="preserve">Compilare con i dati tecnici reali di ogni impianto:
- kWp DC: Potenza nominale DC
- kW AC: Potenza nominale AC
- Vita Residua: anni rimanenti di vita utile
- Incentivo: tipo incentivo (es. V Conto Energia, SSP, ecc.)</t>
        </r>
      </text>
    </comment>
  </commentList>
</comments>
</file>

<file path=xl/sharedStrings.xml><?xml version="1.0" encoding="utf-8"?>
<sst xmlns="http://schemas.openxmlformats.org/spreadsheetml/2006/main" count="1959" uniqueCount="670">
  <si>
    <t xml:space="preserve">⚙️  SETUP MACRO — CONFIGURAZIONE</t>
  </si>
  <si>
    <t xml:space="preserve">⚠ IMPORTANTE: scrivi il percorso del file storico DIRETTAMENTE nella cella D4 (es: C:\Users\Mario\Desktop\Riepilogo_Energia_STORICO.xlsx) e salva il file. Non basta selezionarlo dalla finestra di dialogo — devi digitarlo nella cella.</t>
  </si>
  <si>
    <t xml:space="preserve">Percorso file storico:</t>
  </si>
  <si>
    <t xml:space="preserve">C:\Users\TuoNome\Desktop\Riepilogo_Energia_STORICO.xlsx</t>
  </si>
  <si>
    <t xml:space="preserve">Anno PVGIS (2005-2020):</t>
  </si>
  <si>
    <t xml:space="preserve">⚠ Max 2020 — oltre questa data PVGIS non ha dati</t>
  </si>
  <si>
    <t xml:space="preserve">Percorso detailed-history.xlsx:</t>
  </si>
  <si>
    <t xml:space="preserve">C:\Users\TuoNome\Desktop\detailed-history.xlsx</t>
  </si>
  <si>
    <t xml:space="preserve">ISTRUZIONI: 1) Alt+F11 → Inserisci Modulo → incolla codice → Ctrl+S → .xlsm  |  2) Crea pulsanti in Dashboard: verde=AggiornaDaStorico | viola=AggiornaPVGIS | blu=AggiornaCompleto</t>
  </si>
  <si>
    <t xml:space="preserve">CODICE VBA — copia tutto il testo verde sotto e incollalo nel Modulo VBA</t>
  </si>
  <si>
    <t xml:space="preserve">' D4 = percorso Riepilogo_Energia_STORICO.xlsx</t>
  </si>
  <si>
    <t xml:space="preserve">' D5 = Anno (PVGIS max 2020 | Open-Meteo storico da 1940)</t>
  </si>
  <si>
    <t xml:space="preserve">' D6 = percorso detailed-history.xlsx (incentivi)</t>
  </si>
  <si>
    <t xml:space="preserve">Sub TestPVGIS_Debug()</t>
  </si>
  <si>
    <t xml:space="preserve">    Dim http As Object, sUrl As String, sResp As String</t>
  </si>
  <si>
    <t xml:space="preserve">    sUrl = "https://re.jrc.ec.europa.eu/api/v5_2/PVcalc"</t>
  </si>
  <si>
    <t xml:space="preserve">    sUrl = sUrl &amp; "?lat=37.236750&amp;lon=13.742667&amp;peakpower=1&amp;loss=0"</t>
  </si>
  <si>
    <t xml:space="preserve">    sUrl = sUrl &amp; "&amp;angle=30&amp;aspect=0&amp;startyear=2020&amp;endyear=2020&amp;outputformat=json"</t>
  </si>
  <si>
    <t xml:space="preserve">    Set http = CreateObject("WinHttp.WinHttpRequest.5.1")</t>
  </si>
  <si>
    <t xml:space="preserve">    http.Open "GET", sUrl, False</t>
  </si>
  <si>
    <t xml:space="preserve">    http.SetTimeouts 10000, 10000, 60000, 60000</t>
  </si>
  <si>
    <t xml:space="preserve">    http.Send</t>
  </si>
  <si>
    <t xml:space="preserve">    sResp = http.ResponseText</t>
  </si>
  <si>
    <t xml:space="preserve">    MsgBox "HTTP: " &amp; http.Status &amp; "  Len: " &amp; Len(sResp) &amp; vbCrLf &amp; Left(sResp, 600), _</t>
  </si>
  <si>
    <t xml:space="preserve">           vbInformation, "PVGIS Debug"</t>
  </si>
  <si>
    <t xml:space="preserve">End Sub</t>
  </si>
  <si>
    <t xml:space="preserve">' ================================================================</t>
  </si>
  <si>
    <t xml:space="preserve">Sub AggiornaDaStorico()</t>
  </si>
  <si>
    <t xml:space="preserve">    Dim wbSrc As Workbook, wsSrc As Worksheet</t>
  </si>
  <si>
    <t xml:space="preserve">    Dim wsTgt As Worksheet, wsSetup As Worksheet</t>
  </si>
  <si>
    <t xml:space="preserve">    Dim sPath As String, sTmpPath As String</t>
  </si>
  <si>
    <t xml:space="preserve">    Dim lastRow As Long, tRow As Long, i As Long</t>
  </si>
  <si>
    <t xml:space="preserve">    Set wsSetup = ThisWorkbook.Sheets("Setup_Macro")</t>
  </si>
  <si>
    <t xml:space="preserve">    sPath = CleanPath(wsSetup.Range("D4").Value)</t>
  </si>
  <si>
    <t xml:space="preserve">    wsSetup.Range("D4").Value = sPath</t>
  </si>
  <si>
    <t xml:space="preserve">    If sPath = "" Or Not FileExists(sPath) Then</t>
  </si>
  <si>
    <t xml:space="preserve">        sPath = Application.GetOpenFilename("Excel Files (*.xlsx;*.xlsm),*.xlsx;*.xlsm", , "Seleziona Riepilogo_Energia_STORICO")</t>
  </si>
  <si>
    <t xml:space="preserve">        If sPath = "False" Then Exit Sub</t>
  </si>
  <si>
    <t xml:space="preserve">        wsSetup.Range("D4").Value = sPath</t>
  </si>
  <si>
    <t xml:space="preserve">    End If</t>
  </si>
  <si>
    <t xml:space="preserve">    Application.ScreenUpdating = False: Application.DisplayAlerts = False</t>
  </si>
  <si>
    <t xml:space="preserve">    On Error GoTo ErrHandler</t>
  </si>
  <si>
    <t xml:space="preserve">    sTmpPath = Environ("TEMP") &amp; "\storico_tmp_portfolio.xlsx"</t>
  </si>
  <si>
    <t xml:space="preserve">    Dim wbCheck As Workbook</t>
  </si>
  <si>
    <t xml:space="preserve">    For Each wbCheck In Workbooks</t>
  </si>
  <si>
    <t xml:space="preserve">        If LCase(wbCheck.Name) = "storico_tmp_portfolio.xlsx" Then wbCheck.Close SaveChanges:=False: Exit For</t>
  </si>
  <si>
    <t xml:space="preserve">    Next wbCheck</t>
  </si>
  <si>
    <t xml:space="preserve">    FileCopy sPath, sTmpPath</t>
  </si>
  <si>
    <t xml:space="preserve">    Set wbSrc = Workbooks.Open(sTmpPath, ReadOnly:=True, UpdateLinks:=False)</t>
  </si>
  <si>
    <t xml:space="preserve">    Set wsSrc = wbSrc.Sheets("_Storico_Dati_")</t>
  </si>
  <si>
    <t xml:space="preserve">    Set wsTgt = ThisWorkbook.Sheets("Fonte_Dati")</t>
  </si>
  <si>
    <t xml:space="preserve">    Dim lastTgtRow As Long</t>
  </si>
  <si>
    <t xml:space="preserve">    lastTgtRow = wsTgt.Cells(wsTgt.Rows.Count, 3).End(xlUp).Row</t>
  </si>
  <si>
    <t xml:space="preserve">    If lastTgtRow &gt;= 8 Then wsTgt.Range("B8:K" &amp; lastTgtRow).ClearContents</t>
  </si>
  <si>
    <t xml:space="preserve">    lastRow = wsSrc.Cells(wsSrc.Rows.Count, 1).End(xlUp).Row</t>
  </si>
  <si>
    <t xml:space="preserve">    tRow = 8</t>
  </si>
  <si>
    <t xml:space="preserve">    Dim arrMesi(12) As String</t>
  </si>
  <si>
    <t xml:space="preserve">    arrMesi(1)="Gennaio": arrMesi(2)="Febbraio": arrMesi(3)="Marzo"</t>
  </si>
  <si>
    <t xml:space="preserve">    arrMesi(4)="Aprile":  arrMesi(5)="Maggio":   arrMesi(6)="Giugno"</t>
  </si>
  <si>
    <t xml:space="preserve">    arrMesi(7)="Luglio":  arrMesi(8)="Agosto":   arrMesi(9)="Settembre"</t>
  </si>
  <si>
    <t xml:space="preserve">    arrMesi(10)="Ottobre": arrMesi(11)="Novembre": arrMesi(12)="Dicembre"</t>
  </si>
  <si>
    <t xml:space="preserve">    For i = 2 To lastRow</t>
  </si>
  <si>
    <t xml:space="preserve">        Dim sImp As String: sImp = CStr(wsSrc.Cells(i, 3).Value)</t>
  </si>
  <si>
    <t xml:space="preserve">        If sImp = "" Then GoTo NextRow</t>
  </si>
  <si>
    <t xml:space="preserve">        wsTgt.Cells(tRow, 2).Value = wsSrc.Cells(i, 1).Value</t>
  </si>
  <si>
    <t xml:space="preserve">        Dim nMese As Integer: nMese = CInt(wsSrc.Cells(i, 2).Value)</t>
  </si>
  <si>
    <t xml:space="preserve">        If nMese &gt;= 1 And nMese &lt;= 12 Then wsTgt.Cells(tRow, 3).Value = arrMesi(nMese)</t>
  </si>
  <si>
    <t xml:space="preserve">        wsTgt.Cells(tRow, 4).Value = sImp</t>
  </si>
  <si>
    <t xml:space="preserve">        wsTgt.Cells(tRow, 5).Value = wsSrc.Cells(i, 4).Value</t>
  </si>
  <si>
    <t xml:space="preserve">        wsTgt.Cells(tRow, 6).Value = wsSrc.Cells(i, 5).Value</t>
  </si>
  <si>
    <t xml:space="preserve">        wsTgt.Cells(tRow, 7).Value = wsSrc.Cells(i, 6).Value</t>
  </si>
  <si>
    <t xml:space="preserve">        wsTgt.Cells(tRow, 8).Value = wsSrc.Cells(i, 7).Value</t>
  </si>
  <si>
    <t xml:space="preserve">        wsTgt.Cells(tRow, 9).Value = wsSrc.Cells(i, 8).Value</t>
  </si>
  <si>
    <t xml:space="preserve">        Dim dMagg As Double: dMagg = CDbl(wsSrc.Cells(i, 5).Value)</t>
  </si>
  <si>
    <t xml:space="preserve">        If dMagg &lt;&gt; 0 Then</t>
  </si>
  <si>
    <t xml:space="preserve">            wsTgt.Cells(tRow, 10).Value = CDbl(wsSrc.Cells(i, 8).Value) / (dMagg / 1000)</t>
  </si>
  <si>
    <t xml:space="preserve">        Else: wsTgt.Cells(tRow, 10).Value = 0</t>
  </si>
  <si>
    <t xml:space="preserve">        End If</t>
  </si>
  <si>
    <t xml:space="preserve">        wsTgt.Cells(tRow, 11).Value = IIf(Left(sImp, 4) = "Wind", "Eolico", "Fotovoltaico")</t>
  </si>
  <si>
    <t xml:space="preserve">        tRow = tRow + 1</t>
  </si>
  <si>
    <t xml:space="preserve">NextRow:</t>
  </si>
  <si>
    <t xml:space="preserve">    Next i</t>
  </si>
  <si>
    <t xml:space="preserve">    wbSrc.Close SaveChanges:=False</t>
  </si>
  <si>
    <t xml:space="preserve">    On Error Resume Next: Kill sTmpPath: On Error GoTo ErrHandler</t>
  </si>
  <si>
    <t xml:space="preserve">    Application.Calculate</t>
  </si>
  <si>
    <t xml:space="preserve">    Application.ScreenUpdating = True: Application.DisplayAlerts = True</t>
  </si>
  <si>
    <t xml:space="preserve">    MsgBox "Storico OK! Record: " &amp; (tRow - 8), vbInformation, "Portfolio AM"</t>
  </si>
  <si>
    <t xml:space="preserve">    Exit Sub</t>
  </si>
  <si>
    <t xml:space="preserve">ErrHandler:</t>
  </si>
  <si>
    <t xml:space="preserve">    If Not wbSrc Is Nothing Then wbSrc.Close SaveChanges:=False</t>
  </si>
  <si>
    <t xml:space="preserve">    MsgBox "Errore Storico: " &amp; Err.Description, vbCritical, "Errore"</t>
  </si>
  <si>
    <t xml:space="preserve">Sub AggiornaIncentivi()</t>
  </si>
  <si>
    <t xml:space="preserve">    Dim wsSetup As Worksheet, wsSrc As Worksheet, wsTgt As Worksheet</t>
  </si>
  <si>
    <t xml:space="preserve">    Dim wbSrc As Workbook</t>
  </si>
  <si>
    <t xml:space="preserve">    Dim lastRow As Long, i As Long, m As Integer</t>
  </si>
  <si>
    <t xml:space="preserve">    Dim arrSheets(2) As String, arrTgtRow(2) As Integer</t>
  </si>
  <si>
    <t xml:space="preserve">    arrSheets(0)="ADVANCE-GSE": arrTgtRow(0)=5</t>
  </si>
  <si>
    <t xml:space="preserve">    arrSheets(1)="OWNER"      : arrTgtRow(1)=25</t>
  </si>
  <si>
    <t xml:space="preserve">    arrSheets(2)="TARIFF"     : arrTgtRow(2)=44</t>
  </si>
  <si>
    <t xml:space="preserve">    sPath = CleanPath(wsSetup.Range("D6").Value)</t>
  </si>
  <si>
    <t xml:space="preserve">    wsSetup.Range("D6").Value = sPath</t>
  </si>
  <si>
    <t xml:space="preserve">        sPath = Application.GetOpenFilename("Excel Files (*.xlsx;*.xlsm),*.xlsx;*.xlsm", , "Seleziona detailed-history.xlsx")</t>
  </si>
  <si>
    <t xml:space="preserve">        wsSetup.Range("D6").Value = sPath</t>
  </si>
  <si>
    <t xml:space="preserve">    On Error GoTo ErrInc</t>
  </si>
  <si>
    <t xml:space="preserve">    sTmpPath = Environ("TEMP") &amp; "\history_tmp_portfolio.xlsx"</t>
  </si>
  <si>
    <t xml:space="preserve">    Dim wbChk As Workbook</t>
  </si>
  <si>
    <t xml:space="preserve">    For Each wbChk In Workbooks</t>
  </si>
  <si>
    <t xml:space="preserve">        If LCase(wbChk.Name) = "history_tmp_portfolio.xlsx" Then wbChk.Close SaveChanges:=False: Exit For</t>
  </si>
  <si>
    <t xml:space="preserve">    Next wbChk</t>
  </si>
  <si>
    <t xml:space="preserve">    Set wsTgt = ThisWorkbook.Sheets("SRC_Incentivi")</t>
  </si>
  <si>
    <t xml:space="preserve">    Dim shIdx As Integer</t>
  </si>
  <si>
    <t xml:space="preserve">    For shIdx = 0 To 2</t>
  </si>
  <si>
    <t xml:space="preserve">        Set wsSrc = wbSrc.Sheets(arrSheets(shIdx))</t>
  </si>
  <si>
    <t xml:space="preserve">        lastRow = wsSrc.Cells(wsSrc.Rows.Count, 1).End(xlUp).Row</t>
  </si>
  <si>
    <t xml:space="preserve">        Dim tRow As Integer: tRow = arrTgtRow(shIdx)</t>
  </si>
  <si>
    <t xml:space="preserve">        For i = 2 To lastRow</t>
  </si>
  <si>
    <t xml:space="preserve">            Dim sCode As String: sCode = CStr(wsSrc.Cells(i, 4).Value)</t>
  </si>
  <si>
    <t xml:space="preserve">            If sCode = "" Or sCode = "CODE" Then GoTo NextSrcRow</t>
  </si>
  <si>
    <t xml:space="preserve">            wsTgt.Cells(tRow, 1).Value = wsSrc.Cells(i, 4).Value</t>
  </si>
  <si>
    <t xml:space="preserve">            wsTgt.Cells(tRow, 2).Value = wsSrc.Cells(i, 2).Value</t>
  </si>
  <si>
    <t xml:space="preserve">            wsTgt.Cells(tRow, 3).Value = wsSrc.Cells(i, 3).Value</t>
  </si>
  <si>
    <t xml:space="preserve">            wsTgt.Cells(tRow, 4).Value = wsSrc.Cells(i, 1).Value</t>
  </si>
  <si>
    <t xml:space="preserve">            For m = 0 To 11</t>
  </si>
  <si>
    <t xml:space="preserve">                Dim srcCol As Integer: srcCol = 8 + m</t>
  </si>
  <si>
    <t xml:space="preserve">                Dim cellVal As Variant: cellVal = wsSrc.Cells(i, srcCol).Value</t>
  </si>
  <si>
    <t xml:space="preserve">                wsTgt.Cells(tRow, 5 + m).Value = IIf(IsEmpty(cellVal) Or IsNull(cellVal), 0, cellVal)</t>
  </si>
  <si>
    <t xml:space="preserve">            Next m</t>
  </si>
  <si>
    <t xml:space="preserve">            tRow = tRow + 1</t>
  </si>
  <si>
    <t xml:space="preserve">NextSrcRow:</t>
  </si>
  <si>
    <t xml:space="preserve">        Next i</t>
  </si>
  <si>
    <t xml:space="preserve">    Next shIdx</t>
  </si>
  <si>
    <t xml:space="preserve">    On Error Resume Next: Kill sTmpPath: On Error GoTo ErrInc</t>
  </si>
  <si>
    <t xml:space="preserve">    MsgBox "Incentivi aggiornati!", vbInformation, "Incentivi OK"</t>
  </si>
  <si>
    <t xml:space="preserve">ErrInc:</t>
  </si>
  <si>
    <t xml:space="preserve">    MsgBox "Errore Incentivi: " &amp; Err.Description, vbCritical, "Errore"</t>
  </si>
  <si>
    <t xml:space="preserve">' AggiornaPVGIS: solo impianti FV — eolici gestiti da AggiornaVento</t>
  </si>
  <si>
    <t xml:space="preserve">Sub AggiornaPVGIS()</t>
  </si>
  <si>
    <t xml:space="preserve">    Dim wsSetup As Worksheet, wsIrr As Worksheet</t>
  </si>
  <si>
    <t xml:space="preserve">    Dim sLat As String, sLon As String</t>
  </si>
  <si>
    <t xml:space="preserve">    Dim anno As Integer, i As Integer, m As Integer</t>
  </si>
  <si>
    <t xml:space="preserve">    Dim lat As Double, lon As Double, tilt As Integer, azim As Integer</t>
  </si>
  <si>
    <t xml:space="preserve">    Dim errCount As Integer: errCount = 0</t>
  </si>
  <si>
    <t xml:space="preserve">    Dim fvCount  As Integer: fvCount  = 0</t>
  </si>
  <si>
    <t xml:space="preserve">    Set wsIrr   = ThisWorkbook.Sheets("Irraggiamento_PVGIS")</t>
  </si>
  <si>
    <t xml:space="preserve">    anno = CInt(wsSetup.Range("D5").Value)</t>
  </si>
  <si>
    <t xml:space="preserve">    Application.ScreenUpdating = False</t>
  </si>
  <si>
    <t xml:space="preserve">    On Error GoTo ErrPVGIS</t>
  </si>
  <si>
    <t xml:space="preserve">    Const COORD_START As Integer = 9</t>
  </si>
  <si>
    <t xml:space="preserve">    Const N_IMP       As Integer = 16</t>
  </si>
  <si>
    <t xml:space="preserve">    Const IRR_OFFSET  As Integer = 21</t>
  </si>
  <si>
    <t xml:space="preserve">    For i = 0 To N_IMP - 1</t>
  </si>
  <si>
    <t xml:space="preserve">        Dim coordRow As Integer: coordRow = COORD_START + i</t>
  </si>
  <si>
    <t xml:space="preserve">        Dim impNome As String: impNome = wsIrr.Cells(coordRow, 3).Value</t>
  </si>
  <si>
    <t xml:space="preserve">        If impNome = "" Then GoTo NextImp</t>
  </si>
  <si>
    <t xml:space="preserve">        Dim impTipo As String: impTipo = wsIrr.Cells(coordRow, 4).Value</t>
  </si>
  <si>
    <t xml:space="preserve">        If impTipo = "Eolico" Then GoTo NextImp   '  eolici → AggiornaVento</t>
  </si>
  <si>
    <t xml:space="preserve">        fvCount = fvCount + 1</t>
  </si>
  <si>
    <t xml:space="preserve">        lat  = CDbl(wsIrr.Cells(coordRow, 5).Value)</t>
  </si>
  <si>
    <t xml:space="preserve">        lon  = CDbl(wsIrr.Cells(coordRow, 6).Value)</t>
  </si>
  <si>
    <t xml:space="preserve">        tilt = CInt(wsIrr.Cells(coordRow, 7).Value)</t>
  </si>
  <si>
    <t xml:space="preserve">        azim = CInt(wsIrr.Cells(coordRow, 8).Value)</t>
  </si>
  <si>
    <t xml:space="preserve">        sLat = Replace(Format(lat, "0.000000"), ",", ".")</t>
  </si>
  <si>
    <t xml:space="preserve">        sLon = Replace(Format(lon, "0.000000"), ",", ".")</t>
  </si>
  <si>
    <t xml:space="preserve">        sUrl = "https://re.jrc.ec.europa.eu/api/v5_2/PVcalc"</t>
  </si>
  <si>
    <t xml:space="preserve">        sUrl = sUrl &amp; "?lat=" &amp; sLat &amp; "&amp;lon=" &amp; sLon</t>
  </si>
  <si>
    <t xml:space="preserve">        sUrl = sUrl &amp; "&amp;peakpower=1&amp;loss=0"</t>
  </si>
  <si>
    <t xml:space="preserve">        sUrl = sUrl &amp; "&amp;angle=" &amp; tilt &amp; "&amp;aspect=" &amp; azim</t>
  </si>
  <si>
    <t xml:space="preserve">        sUrl = sUrl &amp; "&amp;startyear=" &amp; anno &amp; "&amp;endyear=" &amp; anno</t>
  </si>
  <si>
    <t xml:space="preserve">        sUrl = sUrl &amp; "&amp;outputformat=json"</t>
  </si>
  <si>
    <t xml:space="preserve">        http.Open "GET", sUrl, False</t>
  </si>
  <si>
    <t xml:space="preserve">        http.SetTimeouts 10000, 10000, 60000, 60000</t>
  </si>
  <si>
    <t xml:space="preserve">        http.Send</t>
  </si>
  <si>
    <t xml:space="preserve">        If http.Status &lt;&gt; 200 Then errCount = errCount + 1: GoTo NextImp</t>
  </si>
  <si>
    <t xml:space="preserve">        sResp = http.ResponseText</t>
  </si>
  <si>
    <t xml:space="preserve">        If Len(sResp) &lt; 200 Then errCount = errCount + 1: GoTo NextImp</t>
  </si>
  <si>
    <t xml:space="preserve">        Dim irrRow As Integer: irrRow = COORD_START + IRR_OFFSET + i</t>
  </si>
  <si>
    <t xml:space="preserve">        For m = 1 To 12</t>
  </si>
  <si>
    <t xml:space="preserve">            wsIrr.Cells(irrRow, 4 + m).Value = ParseHim(sResp, m)</t>
  </si>
  <si>
    <t xml:space="preserve">        Next m</t>
  </si>
  <si>
    <t xml:space="preserve">        wsIrr.Cells(irrRow, 19).Value = Format(Now, "dd/mm/yyyy hh:mm")</t>
  </si>
  <si>
    <t xml:space="preserve">NextImp:</t>
  </si>
  <si>
    <t xml:space="preserve">    Application.ScreenUpdating = True</t>
  </si>
  <si>
    <t xml:space="preserve">    If errCount = 0 Then</t>
  </si>
  <si>
    <t xml:space="preserve">        MsgBox "PVGIS OK! " &amp; fvCount &amp; " FV aggiornati (anno " &amp; anno &amp; ").", vbInformation, "PVGIS"</t>
  </si>
  <si>
    <t xml:space="preserve">    Else</t>
  </si>
  <si>
    <t xml:space="preserve">        MsgBox "Parziale: " &amp; (fvCount-errCount) &amp; " OK, " &amp; errCount &amp; " errori.", vbExclamation, "PVGIS"</t>
  </si>
  <si>
    <t xml:space="preserve">ErrPVGIS:</t>
  </si>
  <si>
    <t xml:space="preserve">    MsgBox "Errore PVGIS (imp " &amp; i &amp; "): " &amp; Err.Description, vbCritical, "PVGIS"</t>
  </si>
  <si>
    <t xml:space="preserve">' AggiornaVento: velocità vento a 55m hub height — Open-Meteo ERA5</t>
  </si>
  <si>
    <t xml:space="preserve">' Metodo: interpolazione logaritmica tra 10m e 100m</t>
  </si>
  <si>
    <t xml:space="preserve">'   v(55m) = v(10m) + [v(100m)-v(10m)] * ln(55/10) / ln(100/10)</t>
  </si>
  <si>
    <t xml:space="preserve">'   ln(55/10) = 1.7047  |  ln(100/10) = 2.3026  |  ratio = 0.7403</t>
  </si>
  <si>
    <t xml:space="preserve">' API: archive-api.open-meteo.com — gratuita, no API key</t>
  </si>
  <si>
    <t xml:space="preserve">Sub AggiornaVento()</t>
  </si>
  <si>
    <t xml:space="preserve">    Dim lat As Double, lon As Double</t>
  </si>
  <si>
    <t xml:space="preserve">    Dim v10 As Double, v100 As Double, v55 As Double</t>
  </si>
  <si>
    <t xml:space="preserve">    Dim windCount As Integer: windCount = 0</t>
  </si>
  <si>
    <t xml:space="preserve">    Const HUB_HEIGHT As Integer = 55      '  metri hub height turbine</t>
  </si>
  <si>
    <t xml:space="preserve">    Const LOG_RATIO   As Double  = 0.7403 '  ln(55/10) / ln(100/10)</t>
  </si>
  <si>
    <t xml:space="preserve">    On Error GoTo ErrVento</t>
  </si>
  <si>
    <t xml:space="preserve">        If impTipo &lt;&gt; "Eolico" Then GoTo NextWindImp</t>
  </si>
  <si>
    <t xml:space="preserve">        windCount = windCount + 1</t>
  </si>
  <si>
    <t xml:space="preserve">        lat = CDbl(wsIrr.Cells(coordRow, 5).Value)</t>
  </si>
  <si>
    <t xml:space="preserve">        lon = CDbl(wsIrr.Cells(coordRow, 6).Value)</t>
  </si>
  <si>
    <t xml:space="preserve">        '  Richiede ENTRAMBE le altezze 10m e 100m in una sola chiamata API</t>
  </si>
  <si>
    <t xml:space="preserve">        sUrl = "https://archive-api.open-meteo.com/v1/archive"</t>
  </si>
  <si>
    <t xml:space="preserve">        sUrl = sUrl &amp; "?latitude=" &amp; sLat &amp; "&amp;longitude=" &amp; sLon</t>
  </si>
  <si>
    <t xml:space="preserve">        sUrl = sUrl &amp; "&amp;start_date=" &amp; anno &amp; "-01-01"</t>
  </si>
  <si>
    <t xml:space="preserve">        sUrl = sUrl &amp; "&amp;end_date=" &amp; anno &amp; "-12-31"</t>
  </si>
  <si>
    <t xml:space="preserve">        sUrl = sUrl &amp; "&amp;daily=wind_speed_10m_mean,wind_speed_100m_mean"</t>
  </si>
  <si>
    <t xml:space="preserve">        sUrl = sUrl &amp; "&amp;wind_speed_unit=ms&amp;timezone=Europe%2FRome"</t>
  </si>
  <si>
    <t xml:space="preserve">        http.SetTimeouts 10000, 10000, 90000, 90000</t>
  </si>
  <si>
    <t xml:space="preserve">        If http.Status &lt;&gt; 200 Then errCount = errCount + 1: GoTo NextWindImp</t>
  </si>
  <si>
    <t xml:space="preserve">        If Len(sResp) &lt; 100 Then errCount = errCount + 1: GoTo NextWindImp</t>
  </si>
  <si>
    <t xml:space="preserve">            v10  = WindMth(sResp, "wind_speed_10m_mean", anno, m)</t>
  </si>
  <si>
    <t xml:space="preserve">            v100 = WindMth(sResp, "wind_speed_100m_mean", anno, m)</t>
  </si>
  <si>
    <t xml:space="preserve">            '  Interpolazione logaritmica a 55m hub height</t>
  </si>
  <si>
    <t xml:space="preserve">            '  v(55) = v(10) + [v(100) - v(10)] * ln(55/10) / ln(100/10)</t>
  </si>
  <si>
    <t xml:space="preserve">            v55 = v10 + (v100 - v10) * LOG_RATIO</t>
  </si>
  <si>
    <t xml:space="preserve">            wsIrr.Cells(irrRow, 4 + m).Value = Round(v55, 2)</t>
  </si>
  <si>
    <t xml:space="preserve">NextWindImp:</t>
  </si>
  <si>
    <t xml:space="preserve">        MsgBox "Vento OK! " &amp; windCount &amp; "/3 eolici @ 55m hub (interp. log. 10m↔100m).", _</t>
  </si>
  <si>
    <t xml:space="preserve">               vbInformation, "Open-Meteo Vento"</t>
  </si>
  <si>
    <t xml:space="preserve">        MsgBox "Parziale: " &amp; (windCount-errCount) &amp; " OK, " &amp; errCount &amp; " errori.", _</t>
  </si>
  <si>
    <t xml:space="preserve">               vbExclamation, "Open-Meteo Vento"</t>
  </si>
  <si>
    <t xml:space="preserve">ErrVento:</t>
  </si>
  <si>
    <t xml:space="preserve">    MsgBox "Errore Vento (imp " &amp; i &amp; "): " &amp; Err.Description, vbCritical, "Open-Meteo Errore"</t>
  </si>
  <si>
    <t xml:space="preserve">' WindMth: media mensile di una variabile dal JSON Open-Meteo</t>
  </si>
  <si>
    <t xml:space="preserve">' JSON: {"daily":{"time":[...],"wind_speed_10m_mean":[v1,v2,...]},...}</t>
  </si>
  <si>
    <t xml:space="preserve">' sR=risposta JSON, sV=nome variabile, yr=anno, mo=mese (1-12)</t>
  </si>
  <si>
    <t xml:space="preserve">' sR=risposta JSON, sV=variabile, yr=anno, mo=mese (1-12)</t>
  </si>
  <si>
    <t xml:space="preserve">Public Function WindMth(sR As String, sV As String, yr As Integer, mo As Integer) As Double</t>
  </si>
  <si>
    <t xml:space="preserve">    Dim arrS As Long, pos As Long, nc As Long, eb As Long</t>
  </si>
  <si>
    <t xml:space="preserve">    Dim sNum As String, sKey As String, mSum As Double</t>
  </si>
  <si>
    <t xml:space="preserve">    Dim i As Integer, dm(12) As Integer, mm As Integer</t>
  </si>
  <si>
    <t xml:space="preserve">    WindMth = 0</t>
  </si>
  <si>
    <t xml:space="preserve">    Dim lp As Boolean</t>
  </si>
  <si>
    <t xml:space="preserve">    lp = (yr Mod 4 = 0 And (yr Mod 100 &lt;&gt; 0 Or yr Mod 400 = 0))</t>
  </si>
  <si>
    <t xml:space="preserve">    dm(1)=31: dm(2)=IIf(lp,29,28): dm(3)=31: dm(4)=30: dm(5)=31: dm(6)=30</t>
  </si>
  <si>
    <t xml:space="preserve">    dm(7)=31: dm(8)=31: dm(9)=30: dm(10)=31: dm(11)=30: dm(12)=31</t>
  </si>
  <si>
    <t xml:space="preserve">    sKey = Chr(34) &amp; sV &amp; Chr(34) &amp; ":["</t>
  </si>
  <si>
    <t xml:space="preserve">    arrS = InStr(sR, sKey)</t>
  </si>
  <si>
    <t xml:space="preserve">    If arrS = 0 Then Exit Function</t>
  </si>
  <si>
    <t xml:space="preserve">    arrS = arrS + Len(sKey)</t>
  </si>
  <si>
    <t xml:space="preserve">    Dim dayOff As Integer: dayOff = 0</t>
  </si>
  <si>
    <t xml:space="preserve">    For mm = 1 To mo - 1</t>
  </si>
  <si>
    <t xml:space="preserve">        dayOff = dayOff + dm(mm)</t>
  </si>
  <si>
    <t xml:space="preserve">    Next mm</t>
  </si>
  <si>
    <t xml:space="preserve">    Dim sW As String: sW = Mid(sR, arrS)</t>
  </si>
  <si>
    <t xml:space="preserve">    pos = 1</t>
  </si>
  <si>
    <t xml:space="preserve">    For i = 1 To dayOff</t>
  </si>
  <si>
    <t xml:space="preserve">        nc = InStr(pos, sW, ",")</t>
  </si>
  <si>
    <t xml:space="preserve">        If nc = 0 Then Exit Function</t>
  </si>
  <si>
    <t xml:space="preserve">        pos = nc + 1</t>
  </si>
  <si>
    <t xml:space="preserve">    mSum = 0</t>
  </si>
  <si>
    <t xml:space="preserve">    Dim nD As Integer: nD = dm(mo)</t>
  </si>
  <si>
    <t xml:space="preserve">    Dim cp As Long</t>
  </si>
  <si>
    <t xml:space="preserve">    For i = 1 To nD</t>
  </si>
  <si>
    <t xml:space="preserve">        eb = InStr(pos, sW, "]")</t>
  </si>
  <si>
    <t xml:space="preserve">        If nc = 0 Or (eb &gt; 0 And eb &lt; nc) Then cp = eb Else cp = nc</t>
  </si>
  <si>
    <t xml:space="preserve">        If cp &gt; 0 Then sNum = Trim(Mid(sW, pos, cp - pos)) Else sNum = Trim(Mid(sW, pos, 10))</t>
  </si>
  <si>
    <t xml:space="preserve">        sNum = Replace(sNum, ".", Application.DecimalSeparator)</t>
  </si>
  <si>
    <t xml:space="preserve">        On Error Resume Next</t>
  </si>
  <si>
    <t xml:space="preserve">        mSum = mSum + CDbl(sNum)</t>
  </si>
  <si>
    <t xml:space="preserve">        On Error GoTo 0</t>
  </si>
  <si>
    <t xml:space="preserve">        If nc &gt; 0 And (eb = 0 Or nc &lt; eb) Then pos = nc + 1</t>
  </si>
  <si>
    <t xml:space="preserve">    WindMth = mSum / nD</t>
  </si>
  <si>
    <t xml:space="preserve">End Function</t>
  </si>
  <si>
    <t xml:space="preserve">Public Function ParseHim(sResp As String, m As Integer) As Double</t>
  </si>
  <si>
    <t xml:space="preserve">    Dim pos1 As Long, pos2 As Long, sChunk As String</t>
  </si>
  <si>
    <t xml:space="preserve">    Dim sNum As String, sKey As String, cutPos As Long, offset As Integer</t>
  </si>
  <si>
    <t xml:space="preserve">    ParseHim = 0</t>
  </si>
  <si>
    <t xml:space="preserve">    sKey = Chr(34) &amp; "month" &amp; Chr(34) &amp; ":" &amp; m &amp; ","</t>
  </si>
  <si>
    <t xml:space="preserve">    pos1 = InStr(sResp, sKey)</t>
  </si>
  <si>
    <t xml:space="preserve">    If pos1 = 0 Then</t>
  </si>
  <si>
    <t xml:space="preserve">        sKey = Chr(34) &amp; "month" &amp; Chr(34) &amp; ": " &amp; m &amp; ","</t>
  </si>
  <si>
    <t xml:space="preserve">        pos1 = InStr(sResp, sKey)</t>
  </si>
  <si>
    <t xml:space="preserve">    If pos1 = 0 Then Exit Function</t>
  </si>
  <si>
    <t xml:space="preserve">    sChunk = Mid(sResp, pos1, 500)</t>
  </si>
  <si>
    <t xml:space="preserve">    pos2 = InStr(sChunk, Chr(34) &amp; "H(i)_m" &amp; Chr(34) &amp; ":")</t>
  </si>
  <si>
    <t xml:space="preserve">    If pos2 = 0 Then pos2 = InStr(sChunk, Chr(34) &amp; "H(i)_m" &amp; Chr(34) &amp; ": ")</t>
  </si>
  <si>
    <t xml:space="preserve">    If pos2 = 0 Then Exit Function</t>
  </si>
  <si>
    <t xml:space="preserve">    offset = 9</t>
  </si>
  <si>
    <t xml:space="preserve">    If Mid(sChunk, pos2 + offset, 1) = " " Then offset = 10</t>
  </si>
  <si>
    <t xml:space="preserve">    sNum = Mid(sChunk, pos2 + offset, 20)</t>
  </si>
  <si>
    <t xml:space="preserve">    cutPos = InStr(sNum, ",")</t>
  </si>
  <si>
    <t xml:space="preserve">    If cutPos = 0 Or (InStr(sNum, "}") &gt; 0 And InStr(sNum, "}") &lt; cutPos) Then</t>
  </si>
  <si>
    <t xml:space="preserve">        cutPos = InStr(sNum, "}")</t>
  </si>
  <si>
    <t xml:space="preserve">    If cutPos &gt; 0 Then sNum = Left(sNum, cutPos - 1)</t>
  </si>
  <si>
    <t xml:space="preserve">    sNum = Replace(Trim(sNum), ".", Application.DecimalSeparator)</t>
  </si>
  <si>
    <t xml:space="preserve">    On Error Resume Next</t>
  </si>
  <si>
    <t xml:space="preserve">    ParseHim = CDbl(sNum)</t>
  </si>
  <si>
    <t xml:space="preserve">    On Error GoTo 0</t>
  </si>
  <si>
    <t xml:space="preserve">Sub AggiornaCompleto()</t>
  </si>
  <si>
    <t xml:space="preserve">    Call AggiornaDaStorico</t>
  </si>
  <si>
    <t xml:space="preserve">    Call AggiornaIncentivi</t>
  </si>
  <si>
    <t xml:space="preserve">    Call AggiornaPVGIS</t>
  </si>
  <si>
    <t xml:space="preserve">    Call AggiornaVento</t>
  </si>
  <si>
    <t xml:space="preserve">Public Function FileExists(sPath As String) As Boolean</t>
  </si>
  <si>
    <t xml:space="preserve">    FileExists = (Dir(sPath) &lt;&gt; "")</t>
  </si>
  <si>
    <t xml:space="preserve">Private Function CleanPath(sPath As String) As String</t>
  </si>
  <si>
    <t xml:space="preserve">    sPath = Trim(sPath)</t>
  </si>
  <si>
    <t xml:space="preserve">    If Left(sPath, 1) = Chr(34) Then sPath = Mid(sPath, 2)</t>
  </si>
  <si>
    <t xml:space="preserve">    If Right(sPath, 1) = Chr(34) Then sPath = Left(sPath, Len(sPath) - 1)</t>
  </si>
  <si>
    <t xml:space="preserve">    CleanPath = Trim(sPath)</t>
  </si>
  <si>
    <t xml:space="preserve">📥 FONTE DATI — STORICO ENERGIA &amp; FATTURATO</t>
  </si>
  <si>
    <t xml:space="preserve">Importato da: Riepilogo_Energia_STORICO.xlsx  |  Periodo: Q1 2026  |  16 Impianti  |  Aggiornato: 16/03/2026</t>
  </si>
  <si>
    <t xml:space="preserve">⚠  Questo foglio è la fonte centralizzata. Gli altri fogli leggono da qui via SUMIF. Non modificare la struttura.</t>
  </si>
  <si>
    <t xml:space="preserve">Anno</t>
  </si>
  <si>
    <t xml:space="preserve">Mese</t>
  </si>
  <si>
    <t xml:space="preserve">Impianto</t>
  </si>
  <si>
    <t xml:space="preserve">Energia Mis. (kWh)</t>
  </si>
  <si>
    <t xml:space="preserve">Energia Magg. (kWh)</t>
  </si>
  <si>
    <t xml:space="preserve">Fatturato Lordo (€)</t>
  </si>
  <si>
    <t xml:space="preserve">Fee (€)</t>
  </si>
  <si>
    <t xml:space="preserve">Fatturato Netto (€)</t>
  </si>
  <si>
    <t xml:space="preserve">EUR/MWh</t>
  </si>
  <si>
    <t xml:space="preserve">Tipo</t>
  </si>
  <si>
    <t xml:space="preserve">Gennaio</t>
  </si>
  <si>
    <t xml:space="preserve">FV-Batia S. Francesco</t>
  </si>
  <si>
    <t xml:space="preserve">Fotovoltaico</t>
  </si>
  <si>
    <t xml:space="preserve">FV-Campofranco Tetto</t>
  </si>
  <si>
    <t xml:space="preserve">FV-Fauma Tetto</t>
  </si>
  <si>
    <t xml:space="preserve">FV-Favara Grande</t>
  </si>
  <si>
    <t xml:space="preserve">FV-Malvizzo Piccolo</t>
  </si>
  <si>
    <t xml:space="preserve">FV-Malvizzo a Terra</t>
  </si>
  <si>
    <t xml:space="preserve">FV-Narbone Piccolo</t>
  </si>
  <si>
    <t xml:space="preserve">FV-Narbone a Terra Grande</t>
  </si>
  <si>
    <t xml:space="preserve">FV-Perniciara</t>
  </si>
  <si>
    <t xml:space="preserve">FV-Serre Gela</t>
  </si>
  <si>
    <t xml:space="preserve">FV-Serre Narbone</t>
  </si>
  <si>
    <t xml:space="preserve">FV-Serre S.Angelo Muxaro</t>
  </si>
  <si>
    <t xml:space="preserve">FV-Tumarrano MEG</t>
  </si>
  <si>
    <t xml:space="preserve">Wind - Monte Durrà</t>
  </si>
  <si>
    <t xml:space="preserve">Eolico</t>
  </si>
  <si>
    <t xml:space="preserve">Wind - Monte Malvizzo</t>
  </si>
  <si>
    <t xml:space="preserve">Wind - Monte Narbone</t>
  </si>
  <si>
    <t xml:space="preserve">Febbraio</t>
  </si>
  <si>
    <t xml:space="preserve">Marzo</t>
  </si>
  <si>
    <t xml:space="preserve">TOTALE Q1 2026</t>
  </si>
  <si>
    <t xml:space="preserve">🗄️  DATABASE PORTFOLIO — DATI REALI Q1 2026</t>
  </si>
  <si>
    <t xml:space="preserve">16 Impianti (13 FV + 3 Eolici)  |  Q1 2026  |  Celle gialle = dati tecnici da completare</t>
  </si>
  <si>
    <t xml:space="preserve">ANAGRAFICA IMPIANTI</t>
  </si>
  <si>
    <t xml:space="preserve">DATI TECNICI (da compilare)</t>
  </si>
  <si>
    <t xml:space="preserve">PR — Formula IEC 61724-1</t>
  </si>
  <si>
    <t xml:space="preserve">ID</t>
  </si>
  <si>
    <t xml:space="preserve">Trader</t>
  </si>
  <si>
    <t xml:space="preserve">Ragione Sociale</t>
  </si>
  <si>
    <t xml:space="preserve">PVI</t>
  </si>
  <si>
    <t xml:space="preserve">Fee (€/MWh)</t>
  </si>
  <si>
    <t xml:space="preserve">Regione</t>
  </si>
  <si>
    <t xml:space="preserve">Anno Ins.</t>
  </si>
  <si>
    <t xml:space="preserve">kWp DC ⚠</t>
  </si>
  <si>
    <t xml:space="preserve">kW AC ⚠</t>
  </si>
  <si>
    <t xml:space="preserve">Vita Resid.⚠</t>
  </si>
  <si>
    <t xml:space="preserve">En. Mis. Q1 (MWh)</t>
  </si>
  <si>
    <t xml:space="preserve">En. Magg. Q1 (MWh)</t>
  </si>
  <si>
    <t xml:space="preserve">Fatturato Lordo Q1 (€)</t>
  </si>
  <si>
    <t xml:space="preserve">Fee Q1 (€)</t>
  </si>
  <si>
    <t xml:space="preserve">Fatturato Netto Q1 (€)</t>
  </si>
  <si>
    <t xml:space="preserve">EUR/MWh medio</t>
  </si>
  <si>
    <t xml:space="preserve">OPEX est. (€)</t>
  </si>
  <si>
    <t xml:space="preserve">Irr. Q1 (kWh/m²)</t>
  </si>
  <si>
    <t xml:space="preserve">PR Q1 (%) IEC</t>
  </si>
  <si>
    <t xml:space="preserve">DXT</t>
  </si>
  <si>
    <t xml:space="preserve">Moncada Energy Group Srl</t>
  </si>
  <si>
    <t xml:space="preserve">PVI_S19MNEN_001</t>
  </si>
  <si>
    <t xml:space="preserve">Sicilia</t>
  </si>
  <si>
    <t xml:space="preserve">BANCO ENERGIA</t>
  </si>
  <si>
    <t xml:space="preserve">PVI_S19MDEN_001</t>
  </si>
  <si>
    <t xml:space="preserve">PVI_S19MMEN_001</t>
  </si>
  <si>
    <t xml:space="preserve">AXPO</t>
  </si>
  <si>
    <t xml:space="preserve">Biopower 2 Srl</t>
  </si>
  <si>
    <t xml:space="preserve">Biopower 3 Srl</t>
  </si>
  <si>
    <t xml:space="preserve">Energie Innovative Srl</t>
  </si>
  <si>
    <t xml:space="preserve">PVI_0435789_001</t>
  </si>
  <si>
    <t xml:space="preserve">Società Agricola Solar Farm 3 Srl</t>
  </si>
  <si>
    <t xml:space="preserve">PVI_0363736_001</t>
  </si>
  <si>
    <t xml:space="preserve">Società Agricola Solar Farm Srl</t>
  </si>
  <si>
    <t xml:space="preserve">PVI_S19SNRR_001</t>
  </si>
  <si>
    <t xml:space="preserve">Società Agricola Solar Farm 5 Srl</t>
  </si>
  <si>
    <t xml:space="preserve">PVI_0384558_001</t>
  </si>
  <si>
    <t xml:space="preserve">ERM Srl</t>
  </si>
  <si>
    <t xml:space="preserve">Moncada Energy Solar Srl</t>
  </si>
  <si>
    <t xml:space="preserve">PVI_0397946_001</t>
  </si>
  <si>
    <t xml:space="preserve">PVI_0397937_001</t>
  </si>
  <si>
    <t xml:space="preserve">PVI_0130620_001</t>
  </si>
  <si>
    <t xml:space="preserve">PVI_0558896_001</t>
  </si>
  <si>
    <t xml:space="preserve">TOTALE PORTFOLIO Q1 2026</t>
  </si>
  <si>
    <t xml:space="preserve">☀  PORTFOLIO AM — DASHBOARD ESECUTIVO  ☀</t>
  </si>
  <si>
    <t xml:space="preserve">Q1 2026  |  16 Impianti (13 FV + 3 Eolici)  |  Elaborato: 16/03/2026</t>
  </si>
  <si>
    <t xml:space="preserve">▶  AGGIORNA DATI</t>
  </si>
  <si>
    <t xml:space="preserve">🌞  AGGIORNA PVGIS</t>
  </si>
  <si>
    <t xml:space="preserve">▶▶  AGGIORNA TUTTO (storico + PVGIS)</t>
  </si>
  <si>
    <t xml:space="preserve">← Assegna macro: verde=AggiornaDaStorico | viola=AggiornaPVGIS | blu=AggiornaCompleto</t>
  </si>
  <si>
    <t xml:space="preserve">⚡ ENERGIA MISURATA Q1</t>
  </si>
  <si>
    <t xml:space="preserve">💰 FATTURATO NETTO Q1</t>
  </si>
  <si>
    <t xml:space="preserve">📈 PREZZO MEDIO EUR/MWh</t>
  </si>
  <si>
    <t xml:space="preserve">🔋 IMPIANTI ATTIVI</t>
  </si>
  <si>
    <t xml:space="preserve">28,822 MWh</t>
  </si>
  <si>
    <t xml:space="preserve">€ 3.127 M</t>
  </si>
  <si>
    <t xml:space="preserve">€ 108.12/MWh</t>
  </si>
  <si>
    <t xml:space="preserve">16 / 16</t>
  </si>
  <si>
    <t xml:space="preserve">▲ Gennaio + Febbraio + Marzo</t>
  </si>
  <si>
    <t xml:space="preserve">▲ Fee contrattuale applicata</t>
  </si>
  <si>
    <t xml:space="preserve">▲ Media ponderata per MWh</t>
  </si>
  <si>
    <t xml:space="preserve">✅ Portfolio 100% operativo</t>
  </si>
  <si>
    <t xml:space="preserve">☀ IMPIANTI FOTOVOLTAICI</t>
  </si>
  <si>
    <t xml:space="preserve">💨 IMPIANTI EOLICI</t>
  </si>
  <si>
    <t xml:space="preserve">💹 FATTURATO LORDO Q1</t>
  </si>
  <si>
    <t xml:space="preserve">🏦 EBITDA STIMATO Q1</t>
  </si>
  <si>
    <t xml:space="preserve">13 impianti</t>
  </si>
  <si>
    <t xml:space="preserve">3 impianti</t>
  </si>
  <si>
    <t xml:space="preserve">€ 3.133 M</t>
  </si>
  <si>
    <t xml:space="preserve">€ 2.877 M</t>
  </si>
  <si>
    <t xml:space="preserve">Fat. Netto: € 0.735 M</t>
  </si>
  <si>
    <t xml:space="preserve">Fat. Netto: € 2.392 M</t>
  </si>
  <si>
    <t xml:space="preserve">Fee totale: € 5,785</t>
  </si>
  <si>
    <t xml:space="preserve">▲ Margin ~92% (OPEX ~8%)</t>
  </si>
  <si>
    <t xml:space="preserve">💹  INCENTIVI GSE — ACCONTO Q1 2026  (ADVANCE-GSE × TARIFF)</t>
  </si>
  <si>
    <t xml:space="preserve">💹 ACCONTO
INCENTIVI Q1</t>
  </si>
  <si>
    <t xml:space="preserve">✅ CONSUNTIVO
INCENTIVI Q1</t>
  </si>
  <si>
    <t xml:space="preserve">📐 DELTA
Cons. − Acc.</t>
  </si>
  <si>
    <t xml:space="preserve">🏦 EBITDA
+ INCENTIVI</t>
  </si>
  <si>
    <t xml:space="preserve">ADVANCE-GSE × Tariffa</t>
  </si>
  <si>
    <t xml:space="preserve">OWNER × Tariffa</t>
  </si>
  <si>
    <t xml:space="preserve">Aggiustamento consuntivo</t>
  </si>
  <si>
    <t xml:space="preserve">EBITDA mercato + cons. inc.</t>
  </si>
  <si>
    <t xml:space="preserve">RIEPILOGO IMPIANTI — STATUS Q1 2026</t>
  </si>
  <si>
    <t xml:space="preserve">Fat. Lordo (€)</t>
  </si>
  <si>
    <t xml:space="preserve">Fat. Netto (€)</t>
  </si>
  <si>
    <t xml:space="preserve">TOTALE PORTFOLIO</t>
  </si>
  <si>
    <t xml:space="preserve">⚡ PRODUZIONE ENERGETICA MENSILE — PORTFOLIO Q1 2026</t>
  </si>
  <si>
    <t xml:space="preserve">Energia Misurata (kWh→MWh) e Maggiorata per Impianto | Fonte: _Storico_Dati_</t>
  </si>
  <si>
    <t xml:space="preserve">ENERGIA MISURATA (MWh) — BREAKDOWN MENSILE</t>
  </si>
  <si>
    <t xml:space="preserve">PERFORMANCE RATIO (IEC 61724-1) — PR = E_real [kWh] / (H(i) [kWh/m²] × kWp DC)</t>
  </si>
  <si>
    <t xml:space="preserve">Gen 2026 (MWh)</t>
  </si>
  <si>
    <t xml:space="preserve">Feb 2026 (MWh)</t>
  </si>
  <si>
    <t xml:space="preserve">Mar 2026 (MWh)</t>
  </si>
  <si>
    <t xml:space="preserve">Totale Q1 (MWh)</t>
  </si>
  <si>
    <t xml:space="preserve">Gen/Tot %</t>
  </si>
  <si>
    <t xml:space="preserve">Gen vs Feb</t>
  </si>
  <si>
    <t xml:space="preserve">Feb vs Gen</t>
  </si>
  <si>
    <t xml:space="preserve">EUR/MWh Gen</t>
  </si>
  <si>
    <t xml:space="preserve">EUR/MWh Feb</t>
  </si>
  <si>
    <t xml:space="preserve">EUR/MWh Q1</t>
  </si>
  <si>
    <t xml:space="preserve">kWp DC</t>
  </si>
  <si>
    <t xml:space="preserve">Irr. Gen
(kWh/m²)</t>
  </si>
  <si>
    <t xml:space="preserve">Irr. Feb
(kWh/m²)</t>
  </si>
  <si>
    <t xml:space="preserve">Irr. Mar
(kWh/m²)</t>
  </si>
  <si>
    <t xml:space="preserve">PR Gen (%)</t>
  </si>
  <si>
    <t xml:space="preserve">PR Feb (%)</t>
  </si>
  <si>
    <t xml:space="preserve">PR Mar (%)</t>
  </si>
  <si>
    <t xml:space="preserve">PR Q1 (%)</t>
  </si>
  <si>
    <t xml:space="preserve">⚠ PR calcolato solo se kWp DC inserito in DB_Impianti col K</t>
  </si>
  <si>
    <t xml:space="preserve">BREAKDOWN FV vs EOLICO</t>
  </si>
  <si>
    <t xml:space="preserve">Fotovoltaico (13 imp.)</t>
  </si>
  <si>
    <t xml:space="preserve">Eolico (3 imp.)</t>
  </si>
  <si>
    <t xml:space="preserve">Totale Portfolio</t>
  </si>
  <si>
    <t xml:space="preserve">💳 FATTURAZIONE DETTAGLIO — PER IMPIANTO E MESE</t>
  </si>
  <si>
    <t xml:space="preserve">Dettaglio mensile: Energia, Fee, Prezzo e Totale Fatturato | Q1 2026</t>
  </si>
  <si>
    <t xml:space="preserve">MWh Mis.</t>
  </si>
  <si>
    <t xml:space="preserve">MWh Magg.</t>
  </si>
  <si>
    <t xml:space="preserve">Fee App. (€)</t>
  </si>
  <si>
    <t xml:space="preserve">EUR/MWh Netto</t>
  </si>
  <si>
    <t xml:space="preserve">Gennaio 2026</t>
  </si>
  <si>
    <t xml:space="preserve">Febbraio 2026</t>
  </si>
  <si>
    <t xml:space="preserve">Marzo 2026</t>
  </si>
  <si>
    <t xml:space="preserve">TOTALE PORTFOLIO Q1</t>
  </si>
  <si>
    <t xml:space="preserve">🏆 RANKING PERFORMANCE IMPIANTI — Q1 2026</t>
  </si>
  <si>
    <t xml:space="preserve">Classifica per Fatturato Netto e EUR/MWh | Fonte: Dati Reali</t>
  </si>
  <si>
    <t xml:space="preserve">🥇 RANKING PER FATTURATO NETTO Q1 2026</t>
  </si>
  <si>
    <t xml:space="preserve">Rank</t>
  </si>
  <si>
    <t xml:space="preserve">MWh Misurati</t>
  </si>
  <si>
    <t xml:space="preserve">MWh Maggiorati</t>
  </si>
  <si>
    <t xml:space="preserve">Quota %</t>
  </si>
  <si>
    <t xml:space="preserve">🥇 1</t>
  </si>
  <si>
    <t xml:space="preserve">🥈 2</t>
  </si>
  <si>
    <t xml:space="preserve">🥉 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</si>
  <si>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</si>
  <si>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</si>
  <si>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</si>
  <si>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</si>
  <si>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</si>
  <si>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</si>
  <si>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</si>
  <si>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</si>
  <si>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</si>
  <si>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</si>
  <si>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</si>
  <si>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</si>
  <si>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</si>
  <si>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💹 RANKING PER PREZZO EUR/MWh Q1 2026</t>
  </si>
  <si>
    <t xml:space="preserve">Δ vs Media</t>
  </si>
  <si>
    <t xml:space="preserve">💰 ANALISI FINANZIARIA CONSOLIDATA — PORTFOLIO Q1 2026</t>
  </si>
  <si>
    <t xml:space="preserve">P&amp;L per Impianto con dati reali di fatturazione | Fonte: _Storico_Dati_</t>
  </si>
  <si>
    <t xml:space="preserve">P&amp;L PER IMPIANTO — Q1 2026 (DATI REALI + INCENTIVI)</t>
  </si>
  <si>
    <t xml:space="preserve">P&amp;L PER IMPIANTO — Q1 2026 (DATI REALI)</t>
  </si>
  <si>
    <t xml:space="preserve">EBITDA est. (€)</t>
  </si>
  <si>
    <t xml:space="preserve">EBITDA Margin</t>
  </si>
  <si>
    <t xml:space="preserve">Acconto
Incentivi Q1
(€)</t>
  </si>
  <si>
    <t xml:space="preserve">Consuntivo
Incentivi Q1
(€)</t>
  </si>
  <si>
    <t xml:space="preserve">EBITDA
+ Incentivi
(€)</t>
  </si>
  <si>
    <t xml:space="preserve">Margin
+ Incentivi</t>
  </si>
  <si>
    <t xml:space="preserve">RIEPILOGO MENSILE — FATTURATO NETTO (€) + INCENTIVI GSE</t>
  </si>
  <si>
    <t xml:space="preserve">Gennaio
2026</t>
  </si>
  <si>
    <t xml:space="preserve">Febbraio
2026</t>
  </si>
  <si>
    <t xml:space="preserve">Marzo
2026</t>
  </si>
  <si>
    <t xml:space="preserve">Totale Q1</t>
  </si>
  <si>
    <t xml:space="preserve">Var
Feb/Gen</t>
  </si>
  <si>
    <t xml:space="preserve">Var %</t>
  </si>
  <si>
    <t xml:space="preserve">EUR/MWh
Q1</t>
  </si>
  <si>
    <t xml:space="preserve">Acc.Inc.
Gen (€)</t>
  </si>
  <si>
    <t xml:space="preserve">Acc.Inc.
Feb (€)</t>
  </si>
  <si>
    <t xml:space="preserve">Acc.Inc.
Mar (€)</t>
  </si>
  <si>
    <t xml:space="preserve">Cons.Inc.
Gen (€)</t>
  </si>
  <si>
    <t xml:space="preserve">Cons.Inc.
Feb (€)</t>
  </si>
  <si>
    <t xml:space="preserve">Cons.Inc.
Mar (€)</t>
  </si>
  <si>
    <t xml:space="preserve">Tot.Cons.
Inc. Q1</t>
  </si>
  <si>
    <t xml:space="preserve">TOTALE Q1</t>
  </si>
  <si>
    <t xml:space="preserve">🌞  IRRAGGIAMENTO SOLARE — DATI PVGIS PER IMPIANTO</t>
  </si>
  <si>
    <t xml:space="preserve">Fonte: PVGIS EU JRC (re.jrc.ec.europa.eu)  |  Piano inclinato H(i) [kWh/m²]  |  Aggiornato automaticamente dalla macro</t>
  </si>
  <si>
    <t xml:space="preserve">REGISTRO COORDINATE E PARAMETRI IMPIANTI</t>
  </si>
  <si>
    <t xml:space="preserve">⚠  Verifica/correggi le coordinate gialle prima di avviare la macro PVGIS — sono coordinate indicative da validare</t>
  </si>
  <si>
    <t xml:space="preserve">Latitudine</t>
  </si>
  <si>
    <t xml:space="preserve">Longitudine</t>
  </si>
  <si>
    <t xml:space="preserve">Tilt (°)</t>
  </si>
  <si>
    <t xml:space="preserve">Azimuth (°)</t>
  </si>
  <si>
    <t xml:space="preserve">IRRAGGIAMENTO MENSILE H(i) [kWh/m²] — FV: Piano inclinato (PVGIS)  |  EOLICI: Vento medio mensile [m/s] @ 55m hub — Open-Meteo ERA5 (interp. log. 10m↔100m)</t>
  </si>
  <si>
    <t xml:space="preserve">🔄 Dati compilati automaticamente dalla macro  ▶ AGGIORNA DATI + PVGIS  |  Anno di riferimento configurabile in ⚙️ Setup &amp; Macro cella E10</t>
  </si>
  <si>
    <t xml:space="preserve">Gen</t>
  </si>
  <si>
    <t xml:space="preserve">Feb</t>
  </si>
  <si>
    <t xml:space="preserve">Mar</t>
  </si>
  <si>
    <t xml:space="preserve">Apr</t>
  </si>
  <si>
    <t xml:space="preserve">Mag</t>
  </si>
  <si>
    <t xml:space="preserve">Giu</t>
  </si>
  <si>
    <t xml:space="preserve">Lug</t>
  </si>
  <si>
    <t xml:space="preserve">Ago</t>
  </si>
  <si>
    <t xml:space="preserve">Set</t>
  </si>
  <si>
    <t xml:space="preserve">Ott</t>
  </si>
  <si>
    <t xml:space="preserve">Nov</t>
  </si>
  <si>
    <t xml:space="preserve">Dic</t>
  </si>
  <si>
    <t xml:space="preserve">Totale Anno</t>
  </si>
  <si>
    <t xml:space="preserve">Fonte</t>
  </si>
  <si>
    <t xml:space="preserve">Ultimo Agg.</t>
  </si>
  <si>
    <t xml:space="preserve">PVGIS v5.2</t>
  </si>
  <si>
    <t xml:space="preserve">Eolico (m/s)</t>
  </si>
  <si>
    <t xml:space="preserve">Open-Meteo</t>
  </si>
  <si>
    <t xml:space="preserve">MEDIA PORTFOLIO</t>
  </si>
  <si>
    <t xml:space="preserve">⚙️  CONFIGURAZIONE CORREZIONE — modifica le celle gialle</t>
  </si>
  <si>
    <t xml:space="preserve">☀  Fattore correzione FV (%):</t>
  </si>
  <si>
    <t xml:space="preserve">PVGIS 2020 → es. -3 = riduzione 3%  |  Applica solo ai 13 impianti FV</t>
  </si>
  <si>
    <t xml:space="preserve">💨  Fattore correzione Eolico (%):</t>
  </si>
  <si>
    <t xml:space="preserve">Open-Meteo ERA5 → es. +5 = aumento 5%  |  Applica solo ai 3 impianti Eolici</t>
  </si>
  <si>
    <t xml:space="preserve">⚠  FV: mult. = (1+E49/100)  |  Eolico: mult. = (1+E50/100)  |  Le celle Lookup Q1 usano automaticamente il fattore corretto per tipo impianto</t>
  </si>
  <si>
    <t xml:space="preserve">LOOKUP Q1 — VALORI CORRETTI PER CALCOLO PR  (☀ FV applica fattore E49 | 💨 Eolico applica fattore E50)</t>
  </si>
  <si>
    <t xml:space="preserve">FONTE DATI INCENTIVI — Aggiornato dalla macro (non modificare)</t>
  </si>
  <si>
    <t xml:space="preserve">ADVANCE-GSE (kWh — Acconto GSE per mese)</t>
  </si>
  <si>
    <t xml:space="preserve">CODE</t>
  </si>
  <si>
    <t xml:space="preserve">SPV</t>
  </si>
  <si>
    <t xml:space="preserve">SITE</t>
  </si>
  <si>
    <t xml:space="preserve">ID_GSE</t>
  </si>
  <si>
    <t xml:space="preserve">Aprile</t>
  </si>
  <si>
    <t xml:space="preserve">Maggio</t>
  </si>
  <si>
    <t xml:space="preserve">Giugno</t>
  </si>
  <si>
    <t xml:space="preserve">Luglio</t>
  </si>
  <si>
    <t xml:space="preserve">Agosto</t>
  </si>
  <si>
    <t xml:space="preserve">Settembre</t>
  </si>
  <si>
    <t xml:space="preserve">Ottobre</t>
  </si>
  <si>
    <t xml:space="preserve">Novembre</t>
  </si>
  <si>
    <t xml:space="preserve">Dicembre</t>
  </si>
  <si>
    <t xml:space="preserve">MONC1A01_01</t>
  </si>
  <si>
    <t xml:space="preserve">ENERGIE INNOVATIVE SRL</t>
  </si>
  <si>
    <t xml:space="preserve">FV-Batia S.Francesco Sez. 01</t>
  </si>
  <si>
    <t xml:space="preserve">668458,01</t>
  </si>
  <si>
    <t xml:space="preserve">MONC1A01_03</t>
  </si>
  <si>
    <t xml:space="preserve">FV-Batia S.Francesco Sez. 02</t>
  </si>
  <si>
    <t xml:space="preserve">668458,03</t>
  </si>
  <si>
    <t xml:space="preserve">MONC1A01_04</t>
  </si>
  <si>
    <t xml:space="preserve">FV-Batia S.Francesco Sez. 03</t>
  </si>
  <si>
    <t xml:space="preserve">668458,04</t>
  </si>
  <si>
    <t xml:space="preserve">MONC2A03</t>
  </si>
  <si>
    <t xml:space="preserve">MONCADA ENERGY GROUP SRL</t>
  </si>
  <si>
    <t xml:space="preserve">157365,01</t>
  </si>
  <si>
    <t xml:space="preserve">MONC2A06</t>
  </si>
  <si>
    <t xml:space="preserve">FV-Kronion Tetto</t>
  </si>
  <si>
    <t xml:space="preserve">789725,01</t>
  </si>
  <si>
    <t xml:space="preserve">MONC2A07</t>
  </si>
  <si>
    <t xml:space="preserve">MONCADA ENERGY SOLAR S.R.L.</t>
  </si>
  <si>
    <t xml:space="preserve">657220</t>
  </si>
  <si>
    <t xml:space="preserve">MONC2A09</t>
  </si>
  <si>
    <t xml:space="preserve">FV-Melilli</t>
  </si>
  <si>
    <t xml:space="preserve">609577</t>
  </si>
  <si>
    <t xml:space="preserve">MONC2A10</t>
  </si>
  <si>
    <t xml:space="preserve">640248,01</t>
  </si>
  <si>
    <t xml:space="preserve">MONC2A13</t>
  </si>
  <si>
    <t xml:space="preserve">FV-Palazzetto</t>
  </si>
  <si>
    <t xml:space="preserve">272016</t>
  </si>
  <si>
    <t xml:space="preserve">MONC2A15</t>
  </si>
  <si>
    <t xml:space="preserve">SOCIETA' AGRICOLA SOLAR FARM 5 S.R.L.</t>
  </si>
  <si>
    <t xml:space="preserve">611248</t>
  </si>
  <si>
    <t xml:space="preserve">MONC2A16_01</t>
  </si>
  <si>
    <t xml:space="preserve">SOCIETA' AGRICOLA SOLAR FARM S.R.L.</t>
  </si>
  <si>
    <t xml:space="preserve">FV-Serre Narbone Sez. 01</t>
  </si>
  <si>
    <t xml:space="preserve">135769,01</t>
  </si>
  <si>
    <t xml:space="preserve">MONC2A16_02</t>
  </si>
  <si>
    <t xml:space="preserve">FV-Serre Narbone Sez. 02</t>
  </si>
  <si>
    <t xml:space="preserve">135769,02</t>
  </si>
  <si>
    <t xml:space="preserve">MONC2A16_03</t>
  </si>
  <si>
    <t xml:space="preserve">FV-Serre Narbone Sez. 03</t>
  </si>
  <si>
    <t xml:space="preserve">135769,03</t>
  </si>
  <si>
    <t xml:space="preserve">MONC1A02</t>
  </si>
  <si>
    <t xml:space="preserve">SOCIETA' AGRICOLA SOLAR FARM 3 S.R.L.</t>
  </si>
  <si>
    <t xml:space="preserve">621051</t>
  </si>
  <si>
    <t xml:space="preserve">MONC2A17</t>
  </si>
  <si>
    <t xml:space="preserve">1000721,01</t>
  </si>
  <si>
    <t xml:space="preserve">MONC2A18</t>
  </si>
  <si>
    <t xml:space="preserve">TUMARRANO ENERGY SOLAR SRL</t>
  </si>
  <si>
    <t xml:space="preserve">FV-Tumarrano Partner</t>
  </si>
  <si>
    <t xml:space="preserve">1003118,01</t>
  </si>
  <si>
    <t xml:space="preserve">OWNER (kWh — Consuntivo per mese)</t>
  </si>
  <si>
    <t xml:space="preserve">TARIFF (€/kWh — Tariffa incentivante per mese)</t>
  </si>
  <si>
    <t xml:space="preserve">💹  KPI INCENTIVI — CALCOLO ACCONTO &amp; CONSUNTIVO GSE</t>
  </si>
  <si>
    <t xml:space="preserve">Acconto: ADVANCE-GSE (kWh) × TARIFF (€/kWh)  |  Consuntivo: OWNER (kWh) × TARIFF (€/kWh)  |  Fonte: detailed-history.xlsx aggiornato via macro</t>
  </si>
  <si>
    <t xml:space="preserve">📊 ACCONTO INCENTIVI GSE — ADVANCE-GSE × TARIFF</t>
  </si>
  <si>
    <t xml:space="preserve">Impianto / SPV</t>
  </si>
  <si>
    <t xml:space="preserve">Tariffa
(€/kWh)</t>
  </si>
  <si>
    <t xml:space="preserve">Totale Anno (€)</t>
  </si>
  <si>
    <t xml:space="preserve">TOTALE 📊 ACCONTO INCENTIVI GSE</t>
  </si>
  <si>
    <t xml:space="preserve">✅ CONSUNTIVO INCENTIVI GSE — OWNER × TARIFF</t>
  </si>
  <si>
    <t xml:space="preserve">TOTALE ✅ CONSUNTIVO INCENTIVI GSE</t>
  </si>
  <si>
    <t xml:space="preserve">📐 DELTA INCENTIVI (Consuntivo − Acconto)</t>
  </si>
  <si>
    <t xml:space="preserve">Totale (€)</t>
  </si>
  <si>
    <t xml:space="preserve">TOTALE DELTA</t>
  </si>
  <si>
    <t xml:space="preserve">⚡  ANALISI PERDITE ENERGETICHE — POTENZA TEORICA vs REALE</t>
  </si>
  <si>
    <t xml:space="preserve">FV: E_teorica = H(i) × kWp_DC × PR_target / 1000  |  Eolico: E_teorica = P_curve(v_55m) × N_turbine × ore / 1000  |  ΔE = E_teorica − E_reale  |  850kW/turbina @ ρ=1.15kg/m³</t>
  </si>
  <si>
    <t xml:space="preserve">POWER CURVE (Vestas 850kW)</t>
  </si>
  <si>
    <t xml:space="preserve">m/s</t>
  </si>
  <si>
    <t xml:space="preserve">kW</t>
  </si>
  <si>
    <t xml:space="preserve">Ct</t>
  </si>
  <si>
    <t xml:space="preserve">Cut-in: 3m/s | Rated: 850kW/turbina | Cut-out: 25m/s</t>
  </si>
  <si>
    <t xml:space="preserve">N° TURBINE PER IMPIANTO</t>
  </si>
  <si>
    <t xml:space="preserve">CONFIG FV</t>
  </si>
  <si>
    <t xml:space="preserve">PR Target:</t>
  </si>
  <si>
    <t xml:space="preserve">← modifica</t>
  </si>
  <si>
    <t xml:space="preserve">DETTAGLIO PER IMPIANTO E MESE — Q1 2026</t>
  </si>
  <si>
    <t xml:space="preserve">Gg</t>
  </si>
  <si>
    <t xml:space="preserve">Vento m/s
(Eo.)
o H(i)
(FV)</t>
  </si>
  <si>
    <t xml:space="preserve">N°Turb.
(Eo.)
o kWp
(FV)</t>
  </si>
  <si>
    <t xml:space="preserve">E Teorica
(MWh)</t>
  </si>
  <si>
    <t xml:space="preserve">E Reale
(MWh)</t>
  </si>
  <si>
    <t xml:space="preserve">ΔE
(MWh)</t>
  </si>
  <si>
    <t xml:space="preserve">ΔE %</t>
  </si>
  <si>
    <t xml:space="preserve">Status</t>
  </si>
  <si>
    <t xml:space="preserve">  Σ 💨 Wind - Monte Narbone (24 turbine)</t>
  </si>
  <si>
    <t xml:space="preserve">  Σ 💨 Wind - Monte Durrà (29 turbine)</t>
  </si>
  <si>
    <t xml:space="preserve">  Σ 💨 Wind - Monte Malvizzo (19 turbine)</t>
  </si>
  <si>
    <t xml:space="preserve">  Σ ☀ FV-Favara Grande</t>
  </si>
  <si>
    <t xml:space="preserve">  Σ ☀ FV-Fauma Tetto</t>
  </si>
  <si>
    <t xml:space="preserve">  Σ ☀ FV-Batia S. Francesco</t>
  </si>
  <si>
    <t xml:space="preserve">  Σ ☀ FV-Serre S.Angelo Muxaro</t>
  </si>
  <si>
    <t xml:space="preserve">  Σ ☀ FV-Serre Narbone</t>
  </si>
  <si>
    <t xml:space="preserve">  Σ ☀ FV-Perniciara</t>
  </si>
  <si>
    <t xml:space="preserve">  Σ ☀ FV-Serre Gela</t>
  </si>
  <si>
    <t xml:space="preserve">  Σ ☀ FV-Malvizzo Piccolo</t>
  </si>
  <si>
    <t xml:space="preserve">  Σ ☀ FV-Malvizzo a Terra</t>
  </si>
  <si>
    <t xml:space="preserve">  Σ ☀ FV-Narbone a Terra Grande</t>
  </si>
  <si>
    <t xml:space="preserve">  Σ ☀ FV-Narbone Piccolo</t>
  </si>
  <si>
    <t xml:space="preserve">  Σ ☀ FV-Campofranco Tetto</t>
  </si>
  <si>
    <t xml:space="preserve">  Σ ☀ FV-Tumarrano MEG</t>
  </si>
</sst>
</file>

<file path=xl/styles.xml><?xml version="1.0" encoding="utf-8"?>
<styleSheet xmlns="http://schemas.openxmlformats.org/spreadsheetml/2006/main">
  <numFmts count="22">
    <numFmt numFmtId="164" formatCode="General"/>
    <numFmt numFmtId="165" formatCode="0"/>
    <numFmt numFmtId="166" formatCode="#,##0.000"/>
    <numFmt numFmtId="167" formatCode="#,##0.00"/>
    <numFmt numFmtId="168" formatCode="#,##0.0"/>
    <numFmt numFmtId="169" formatCode="0.0%"/>
    <numFmt numFmtId="170" formatCode="#,##0"/>
    <numFmt numFmtId="171" formatCode="#,##0.3"/>
    <numFmt numFmtId="172" formatCode="\+#,##0.00;\-#,##0.00;0.00"/>
    <numFmt numFmtId="173" formatCode="\+#,##0.00;\-#,##0.00;\-"/>
    <numFmt numFmtId="174" formatCode="\+0.0%;\-0.0%;\-"/>
    <numFmt numFmtId="175" formatCode="0.000000"/>
    <numFmt numFmtId="176" formatCode="0.0\%"/>
    <numFmt numFmtId="177" formatCode="#,##0.0000"/>
    <numFmt numFmtId="178" formatCode="\€#,##0.0000"/>
    <numFmt numFmtId="179" formatCode="0.000"/>
    <numFmt numFmtId="180" formatCode="0&quot; turbine&quot;"/>
    <numFmt numFmtId="181" formatCode="0%"/>
    <numFmt numFmtId="182" formatCode="0.00"/>
    <numFmt numFmtId="183" formatCode="\+#,##0.000;\-#,##0.000;\-"/>
    <numFmt numFmtId="184" formatCode="\+0.0%;\-0.0%;\-"/>
    <numFmt numFmtId="185" formatCode="\+#,##0.000;\-#,##0.000"/>
  </numFmts>
  <fonts count="5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C00000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00FF41"/>
      <name val="Courier New"/>
      <family val="0"/>
      <charset val="1"/>
    </font>
    <font>
      <sz val="9"/>
      <color rgb="FF1E1E1E"/>
      <name val="Courier New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1A1A1A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7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0"/>
      <color rgb="FF1A2E1A"/>
      <name val="Arial"/>
      <family val="0"/>
      <charset val="1"/>
    </font>
    <font>
      <b val="true"/>
      <sz val="9"/>
      <color rgb="FF1A2E1A"/>
      <name val="Arial"/>
      <family val="0"/>
      <charset val="1"/>
    </font>
    <font>
      <b val="true"/>
      <sz val="16"/>
      <color rgb="FFC8A227"/>
      <name val="Arial"/>
      <family val="0"/>
      <charset val="1"/>
    </font>
    <font>
      <b val="true"/>
      <sz val="16"/>
      <color rgb="FF375623"/>
      <name val="Arial"/>
      <family val="0"/>
      <charset val="1"/>
    </font>
    <font>
      <b val="true"/>
      <sz val="16"/>
      <color rgb="FF7030A0"/>
      <name val="Arial"/>
      <family val="0"/>
      <charset val="1"/>
    </font>
    <font>
      <b val="true"/>
      <sz val="16"/>
      <color rgb="FF1F4E79"/>
      <name val="Arial"/>
      <family val="0"/>
      <charset val="1"/>
    </font>
    <font>
      <sz val="8"/>
      <color rgb="FF5A5A5A"/>
      <name val="Arial"/>
      <family val="0"/>
      <charset val="1"/>
    </font>
    <font>
      <i val="true"/>
      <sz val="8"/>
      <color rgb="FFFF8C00"/>
      <name val="Arial"/>
      <family val="0"/>
      <charset val="1"/>
    </font>
    <font>
      <b val="true"/>
      <sz val="12"/>
      <color rgb="FF37562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1A3A1A"/>
      <name val="Arial"/>
      <family val="0"/>
      <charset val="1"/>
    </font>
    <font>
      <sz val="8"/>
      <color rgb="FF1A3A1A"/>
      <name val="Arial"/>
      <family val="0"/>
      <charset val="1"/>
    </font>
    <font>
      <b val="true"/>
      <sz val="9"/>
      <color rgb="FF012B4A"/>
      <name val="Arial"/>
      <family val="0"/>
      <charset val="1"/>
    </font>
    <font>
      <b val="true"/>
      <sz val="12"/>
      <color rgb="FF065A82"/>
      <name val="Arial"/>
      <family val="0"/>
      <charset val="1"/>
    </font>
    <font>
      <sz val="8"/>
      <color rgb="FF012B4A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1"/>
      <color rgb="FF1A1A2E"/>
      <name val="Arial"/>
      <family val="0"/>
      <charset val="1"/>
    </font>
    <font>
      <b val="true"/>
      <sz val="8"/>
      <color rgb="FF1A1A2E"/>
      <name val="Arial"/>
      <family val="0"/>
      <charset val="1"/>
    </font>
    <font>
      <b val="true"/>
      <sz val="9"/>
      <color rgb="FF1A1A2E"/>
      <name val="Arial"/>
      <family val="0"/>
      <charset val="1"/>
    </font>
    <font>
      <b val="true"/>
      <sz val="10"/>
      <color rgb="FF4A148C"/>
      <name val="Arial"/>
      <family val="0"/>
      <charset val="1"/>
    </font>
    <font>
      <sz val="9"/>
      <color rgb="FFFFFFFF"/>
      <name val="Arial"/>
      <family val="0"/>
      <charset val="1"/>
    </font>
    <font>
      <sz val="8"/>
      <color rgb="FFC8E6F5"/>
      <name val="Arial"/>
      <family val="0"/>
      <charset val="1"/>
    </font>
    <font>
      <b val="true"/>
      <sz val="10"/>
      <color rgb="FFC8E6F5"/>
      <name val="Arial"/>
      <family val="0"/>
      <charset val="1"/>
    </font>
    <font>
      <b val="true"/>
      <sz val="10"/>
      <color rgb="FF012B4A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0"/>
      <color rgb="FFC8A227"/>
      <name val="Arial"/>
      <family val="0"/>
      <charset val="1"/>
    </font>
  </fonts>
  <fills count="47">
    <fill>
      <patternFill patternType="none"/>
    </fill>
    <fill>
      <patternFill patternType="gray125"/>
    </fill>
    <fill>
      <patternFill patternType="solid">
        <fgColor rgb="FFFFFFFF"/>
        <bgColor rgb="FFFFFFF5"/>
      </patternFill>
    </fill>
    <fill>
      <patternFill patternType="solid">
        <fgColor rgb="FF1F4E79"/>
        <bgColor rgb="FF0A4A6E"/>
      </patternFill>
    </fill>
    <fill>
      <patternFill patternType="solid">
        <fgColor rgb="FFC00000"/>
        <bgColor rgb="FF7030A0"/>
      </patternFill>
    </fill>
    <fill>
      <patternFill patternType="solid">
        <fgColor rgb="FFF2F2F2"/>
        <bgColor rgb="FFF5F5F5"/>
      </patternFill>
    </fill>
    <fill>
      <patternFill patternType="solid">
        <fgColor rgb="FFFFFFC0"/>
        <bgColor rgb="FFFFF9E6"/>
      </patternFill>
    </fill>
    <fill>
      <patternFill patternType="solid">
        <fgColor rgb="FFFCE4D6"/>
        <bgColor rgb="FFFFE5E5"/>
      </patternFill>
    </fill>
    <fill>
      <patternFill patternType="solid">
        <fgColor rgb="FFDEEAF1"/>
        <bgColor rgb="FFE0F2FE"/>
      </patternFill>
    </fill>
    <fill>
      <patternFill patternType="solid">
        <fgColor rgb="FF1E1E1E"/>
        <bgColor rgb="FF1A1A1A"/>
      </patternFill>
    </fill>
    <fill>
      <patternFill patternType="solid">
        <fgColor rgb="FF2E75B6"/>
        <bgColor rgb="FF1E5C9E"/>
      </patternFill>
    </fill>
    <fill>
      <patternFill patternType="solid">
        <fgColor rgb="FFFFC000"/>
        <bgColor rgb="FFFFD700"/>
      </patternFill>
    </fill>
    <fill>
      <patternFill patternType="solid">
        <fgColor rgb="FFE2EFDA"/>
        <bgColor rgb="FFE8F5E9"/>
      </patternFill>
    </fill>
    <fill>
      <patternFill patternType="solid">
        <fgColor rgb="FF375623"/>
        <bgColor rgb="FF595959"/>
      </patternFill>
    </fill>
    <fill>
      <patternFill patternType="solid">
        <fgColor rgb="FF7030A0"/>
        <bgColor rgb="FF5B2C8E"/>
      </patternFill>
    </fill>
    <fill>
      <patternFill patternType="solid">
        <fgColor rgb="FF00B050"/>
        <bgColor rgb="FF10B050"/>
      </patternFill>
    </fill>
    <fill>
      <patternFill patternType="solid">
        <fgColor rgb="FFFF8C00"/>
        <bgColor rgb="FFCD7F32"/>
      </patternFill>
    </fill>
    <fill>
      <patternFill patternType="solid">
        <fgColor rgb="FFC8A227"/>
        <bgColor rgb="FFCD7F32"/>
      </patternFill>
    </fill>
    <fill>
      <patternFill patternType="solid">
        <fgColor rgb="FFF5F5F5"/>
        <bgColor rgb="FFF2F2F2"/>
      </patternFill>
    </fill>
    <fill>
      <patternFill patternType="solid">
        <fgColor rgb="FFEAD1DC"/>
        <bgColor rgb="FFD5C5F0"/>
      </patternFill>
    </fill>
    <fill>
      <patternFill patternType="solid">
        <fgColor rgb="FF10B050"/>
        <bgColor rgb="FF00B050"/>
      </patternFill>
    </fill>
    <fill>
      <patternFill patternType="solid">
        <fgColor rgb="FFEBF3FB"/>
        <bgColor rgb="FFF2F2F2"/>
      </patternFill>
    </fill>
    <fill>
      <patternFill patternType="solid">
        <fgColor rgb="FFD5F5E3"/>
        <bgColor rgb="FFE2EFDA"/>
      </patternFill>
    </fill>
    <fill>
      <patternFill patternType="solid">
        <fgColor rgb="FFF5FAFE"/>
        <bgColor rgb="FFF5FFF7"/>
      </patternFill>
    </fill>
    <fill>
      <patternFill patternType="solid">
        <fgColor rgb="FFF0FFF0"/>
        <bgColor rgb="FFF5FFF7"/>
      </patternFill>
    </fill>
    <fill>
      <patternFill patternType="solid">
        <fgColor rgb="FFC8E6C9"/>
        <bgColor rgb="FFC8E6F5"/>
      </patternFill>
    </fill>
    <fill>
      <patternFill patternType="solid">
        <fgColor rgb="FFFFD700"/>
        <bgColor rgb="FFFFC000"/>
      </patternFill>
    </fill>
    <fill>
      <patternFill patternType="solid">
        <fgColor rgb="FFC0C0C0"/>
        <bgColor rgb="FFBFBFBF"/>
      </patternFill>
    </fill>
    <fill>
      <patternFill patternType="solid">
        <fgColor rgb="FFCD7F32"/>
        <bgColor rgb="FFC8A227"/>
      </patternFill>
    </fill>
    <fill>
      <patternFill patternType="solid">
        <fgColor rgb="FFFFF9E6"/>
        <bgColor rgb="FFFFFFF5"/>
      </patternFill>
    </fill>
    <fill>
      <patternFill patternType="solid">
        <fgColor rgb="FFE8F5E9"/>
        <bgColor rgb="FFEBF3FB"/>
      </patternFill>
    </fill>
    <fill>
      <patternFill patternType="solid">
        <fgColor rgb="FF2E3A5C"/>
        <bgColor rgb="FF1A3A5C"/>
      </patternFill>
    </fill>
    <fill>
      <patternFill patternType="solid">
        <fgColor rgb="FFFFFFF5"/>
        <bgColor rgb="FFFFFFFF"/>
      </patternFill>
    </fill>
    <fill>
      <patternFill patternType="solid">
        <fgColor rgb="FFF5FFF7"/>
        <bgColor rgb="FFF0FFF0"/>
      </patternFill>
    </fill>
    <fill>
      <patternFill patternType="solid">
        <fgColor rgb="FFE0F2FE"/>
        <bgColor rgb="FFEBF3FB"/>
      </patternFill>
    </fill>
    <fill>
      <patternFill patternType="solid">
        <fgColor rgb="FF065A82"/>
        <bgColor rgb="FF0A4A6E"/>
      </patternFill>
    </fill>
    <fill>
      <patternFill patternType="solid">
        <fgColor rgb="FFC8E6F5"/>
        <bgColor rgb="FFDEEAF1"/>
      </patternFill>
    </fill>
    <fill>
      <patternFill patternType="solid">
        <fgColor rgb="FF595959"/>
        <bgColor rgb="FF5A5A5A"/>
      </patternFill>
    </fill>
    <fill>
      <patternFill patternType="solid">
        <fgColor rgb="FF1E5C9E"/>
        <bgColor rgb="FF065A82"/>
      </patternFill>
    </fill>
    <fill>
      <patternFill patternType="solid">
        <fgColor rgb="FF5B2C8E"/>
        <bgColor rgb="FF7030A0"/>
      </patternFill>
    </fill>
    <fill>
      <patternFill patternType="solid">
        <fgColor rgb="FFEDE7F6"/>
        <bgColor rgb="FFDEEAF1"/>
      </patternFill>
    </fill>
    <fill>
      <patternFill patternType="solid">
        <fgColor rgb="FFD5C5F0"/>
        <bgColor rgb="FFEAD1DC"/>
      </patternFill>
    </fill>
    <fill>
      <patternFill patternType="solid">
        <fgColor rgb="FF1A1A2E"/>
        <bgColor rgb="FF1E1E1E"/>
      </patternFill>
    </fill>
    <fill>
      <patternFill patternType="solid">
        <fgColor rgb="FF0A4A6E"/>
        <bgColor rgb="FF1F4E79"/>
      </patternFill>
    </fill>
    <fill>
      <patternFill patternType="solid">
        <fgColor rgb="FF1A3A5C"/>
        <bgColor rgb="FF2E3A5C"/>
      </patternFill>
    </fill>
    <fill>
      <patternFill patternType="solid">
        <fgColor rgb="FFFFE5E5"/>
        <bgColor rgb="FFFCE4D6"/>
      </patternFill>
    </fill>
    <fill>
      <patternFill patternType="solid">
        <fgColor rgb="FFFFF0F0"/>
        <bgColor rgb="FFF5F5F5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1F4E79"/>
      </left>
      <right/>
      <top style="medium">
        <color rgb="FF1F4E79"/>
      </top>
      <bottom style="medium">
        <color rgb="FF1F4E79"/>
      </bottom>
      <diagonal/>
    </border>
    <border diagonalUp="false" diagonalDown="false"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C8A227"/>
      </left>
      <right style="medium">
        <color rgb="FFC8A227"/>
      </right>
      <top style="medium">
        <color rgb="FFC8A227"/>
      </top>
      <bottom style="medium">
        <color rgb="FFC8A227"/>
      </bottom>
      <diagonal/>
    </border>
    <border diagonalUp="false" diagonalDown="false">
      <left style="medium">
        <color rgb="FFC8A227"/>
      </left>
      <right/>
      <top style="medium">
        <color rgb="FFC8A227"/>
      </top>
      <bottom style="medium">
        <color rgb="FFC8A227"/>
      </bottom>
      <diagonal/>
    </border>
    <border diagonalUp="false" diagonalDown="false">
      <left style="thin">
        <color rgb="FFBFBFBF"/>
      </left>
      <right style="thin">
        <color rgb="FFBFBFBF"/>
      </right>
      <top/>
      <bottom/>
      <diagonal/>
    </border>
    <border diagonalUp="false" diagonalDown="false">
      <left style="medium">
        <color rgb="FF375623"/>
      </left>
      <right style="medium">
        <color rgb="FF375623"/>
      </right>
      <top style="medium">
        <color rgb="FF375623"/>
      </top>
      <bottom style="medium">
        <color rgb="FF375623"/>
      </bottom>
      <diagonal/>
    </border>
    <border diagonalUp="false" diagonalDown="false">
      <left style="medium">
        <color rgb="FF065A82"/>
      </left>
      <right style="medium">
        <color rgb="FF065A82"/>
      </right>
      <top style="medium">
        <color rgb="FF065A82"/>
      </top>
      <bottom style="medium">
        <color rgb="FF065A8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9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2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2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2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2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2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2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1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7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2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1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1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17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7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3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5" fontId="18" fillId="1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7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1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4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3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3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3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1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6" fontId="35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3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3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6" fontId="42" fillId="6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3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4" fillId="16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45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5" fillId="3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1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1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7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1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1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9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7" fontId="17" fillId="2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1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3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31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31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6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7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3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39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17" fillId="4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" fillId="4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41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7" fillId="4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3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4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3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7" fillId="3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4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4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0" fontId="54" fillId="3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55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29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6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1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7" fillId="3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" fillId="4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17" fillId="4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3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11" fillId="3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11" fillId="3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" fillId="4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17" fillId="4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2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2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5" fontId="7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41"/>
      <rgbColor rgb="FF0000FF"/>
      <rgbColor rgb="FFFFC000"/>
      <rgbColor rgb="FFF5F5F5"/>
      <rgbColor rgb="FFEBF3FB"/>
      <rgbColor rgb="FF1E1E1E"/>
      <rgbColor rgb="FF375623"/>
      <rgbColor rgb="FF1A1A2E"/>
      <rgbColor rgb="FF1F4E79"/>
      <rgbColor rgb="FF0A4A6E"/>
      <rgbColor rgb="FF065A82"/>
      <rgbColor rgb="FFC0C0C0"/>
      <rgbColor rgb="FF888888"/>
      <rgbColor rgb="FFC8E6C9"/>
      <rgbColor rgb="FF7030A0"/>
      <rgbColor rgb="FFFFFFC0"/>
      <rgbColor rgb="FFE0F2FE"/>
      <rgbColor rgb="FF4A148C"/>
      <rgbColor rgb="FFFFE5E5"/>
      <rgbColor rgb="FF1E5C9E"/>
      <rgbColor rgb="FFD5C5F0"/>
      <rgbColor rgb="FF1A1A1A"/>
      <rgbColor rgb="FFF5FAFE"/>
      <rgbColor rgb="FFE2EFDA"/>
      <rgbColor rgb="FFF0FFF0"/>
      <rgbColor rgb="FFF5FFF7"/>
      <rgbColor rgb="FFFFFFF5"/>
      <rgbColor rgb="FF00B050"/>
      <rgbColor rgb="FF1A3A5C"/>
      <rgbColor rgb="FFF2F2F2"/>
      <rgbColor rgb="FFE8F5E9"/>
      <rgbColor rgb="FFD5F5E3"/>
      <rgbColor rgb="FFFFF9E6"/>
      <rgbColor rgb="FFBFBFBF"/>
      <rgbColor rgb="FFFCE4D6"/>
      <rgbColor rgb="FFC8E6F5"/>
      <rgbColor rgb="FFEAD1DC"/>
      <rgbColor rgb="FF2E75B6"/>
      <rgbColor rgb="FFEDE7F6"/>
      <rgbColor rgb="FFC8A227"/>
      <rgbColor rgb="FFFFD700"/>
      <rgbColor rgb="FFFF8C00"/>
      <rgbColor rgb="FFCD7F32"/>
      <rgbColor rgb="FF5A5A5A"/>
      <rgbColor rgb="FFDEEAF1"/>
      <rgbColor rgb="FF012B4A"/>
      <rgbColor rgb="FF10B050"/>
      <rgbColor rgb="FF1A3A1A"/>
      <rgbColor rgb="FF1A2E1A"/>
      <rgbColor rgb="FFFFF0F0"/>
      <rgbColor rgb="FF595959"/>
      <rgbColor rgb="FF5B2C8E"/>
      <rgbColor rgb="FF2E3A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I40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"/>
    <col collapsed="false" customWidth="true" hidden="false" outlineLevel="0" max="3" min="3" style="1" width="28"/>
    <col collapsed="false" customWidth="true" hidden="false" outlineLevel="0" max="4" min="4" style="1" width="55"/>
    <col collapsed="false" customWidth="true" hidden="false" outlineLevel="0" max="5" min="5" style="1" width="40"/>
    <col collapsed="false" customWidth="true" hidden="false" outlineLevel="0" max="8" min="6" style="1" width="8"/>
  </cols>
  <sheetData>
    <row r="1" customFormat="false" ht="15.75" hidden="false" customHeight="true" outlineLevel="0" collapsed="false">
      <c r="A1" s="2"/>
      <c r="B1" s="3" t="s">
        <v>0</v>
      </c>
      <c r="C1" s="3"/>
      <c r="D1" s="3"/>
      <c r="E1" s="3"/>
      <c r="F1" s="3"/>
      <c r="G1" s="3"/>
      <c r="H1" s="3"/>
      <c r="I1" s="2"/>
    </row>
    <row r="2" customFormat="false" ht="25.5" hidden="false" customHeight="true" outlineLevel="0" collapsed="false">
      <c r="A2" s="2"/>
      <c r="B2" s="3"/>
      <c r="C2" s="3"/>
      <c r="D2" s="3"/>
      <c r="E2" s="3"/>
      <c r="F2" s="3"/>
      <c r="G2" s="3"/>
      <c r="H2" s="3"/>
      <c r="I2" s="2"/>
    </row>
    <row r="3" customFormat="false" ht="36" hidden="false" customHeight="true" outlineLevel="0" collapsed="false">
      <c r="A3" s="2"/>
      <c r="B3" s="4" t="s">
        <v>1</v>
      </c>
      <c r="C3" s="4"/>
      <c r="D3" s="4"/>
      <c r="E3" s="4"/>
      <c r="F3" s="4"/>
      <c r="G3" s="4"/>
      <c r="H3" s="4"/>
      <c r="I3" s="2"/>
    </row>
    <row r="4" customFormat="false" ht="21.75" hidden="false" customHeight="true" outlineLevel="0" collapsed="false">
      <c r="A4" s="2"/>
      <c r="B4" s="5" t="s">
        <v>2</v>
      </c>
      <c r="C4" s="5"/>
      <c r="D4" s="6" t="s">
        <v>3</v>
      </c>
      <c r="E4" s="6"/>
      <c r="F4" s="6"/>
      <c r="G4" s="6"/>
      <c r="H4" s="6"/>
      <c r="I4" s="2"/>
    </row>
    <row r="5" customFormat="false" ht="21.75" hidden="false" customHeight="true" outlineLevel="0" collapsed="false">
      <c r="A5" s="2"/>
      <c r="B5" s="5" t="s">
        <v>4</v>
      </c>
      <c r="C5" s="5"/>
      <c r="D5" s="7" t="n">
        <v>2020</v>
      </c>
      <c r="E5" s="8" t="s">
        <v>5</v>
      </c>
      <c r="F5" s="8"/>
      <c r="G5" s="8"/>
      <c r="H5" s="8"/>
      <c r="I5" s="2"/>
    </row>
    <row r="6" customFormat="false" ht="21.75" hidden="false" customHeight="true" outlineLevel="0" collapsed="false">
      <c r="A6" s="2"/>
      <c r="B6" s="9" t="s">
        <v>6</v>
      </c>
      <c r="C6" s="9"/>
      <c r="D6" s="10" t="s">
        <v>7</v>
      </c>
      <c r="E6" s="10"/>
      <c r="F6" s="10"/>
      <c r="G6" s="10"/>
      <c r="H6" s="10"/>
      <c r="I6" s="2"/>
    </row>
    <row r="7" customFormat="false" ht="21.75" hidden="false" customHeight="true" outlineLevel="0" collapsed="false">
      <c r="A7" s="2"/>
      <c r="B7" s="11" t="s">
        <v>8</v>
      </c>
      <c r="C7" s="11"/>
      <c r="D7" s="11"/>
      <c r="E7" s="11"/>
      <c r="F7" s="11"/>
      <c r="G7" s="11"/>
      <c r="H7" s="11"/>
      <c r="I7" s="2"/>
    </row>
    <row r="8" customFormat="false" ht="21.75" hidden="false" customHeight="true" outlineLevel="0" collapsed="false">
      <c r="A8" s="2"/>
      <c r="B8" s="12" t="s">
        <v>9</v>
      </c>
      <c r="C8" s="12"/>
      <c r="D8" s="12"/>
      <c r="E8" s="12"/>
      <c r="F8" s="12"/>
      <c r="G8" s="12"/>
      <c r="H8" s="12"/>
      <c r="I8" s="2"/>
    </row>
    <row r="9" customFormat="false" ht="13.5" hidden="false" customHeight="true" outlineLevel="0" collapsed="false">
      <c r="A9" s="13"/>
      <c r="B9" s="14" t="s">
        <v>10</v>
      </c>
      <c r="C9" s="14"/>
      <c r="D9" s="14"/>
      <c r="E9" s="14"/>
      <c r="F9" s="14"/>
      <c r="G9" s="14"/>
      <c r="H9" s="14"/>
      <c r="I9" s="2"/>
    </row>
    <row r="10" customFormat="false" ht="13.5" hidden="false" customHeight="true" outlineLevel="0" collapsed="false">
      <c r="A10" s="13"/>
      <c r="B10" s="14" t="s">
        <v>11</v>
      </c>
      <c r="C10" s="14"/>
      <c r="D10" s="14"/>
      <c r="E10" s="14"/>
      <c r="F10" s="14"/>
      <c r="G10" s="14"/>
      <c r="H10" s="14"/>
      <c r="I10" s="2"/>
    </row>
    <row r="11" customFormat="false" ht="13.5" hidden="false" customHeight="true" outlineLevel="0" collapsed="false">
      <c r="A11" s="13"/>
      <c r="B11" s="14" t="s">
        <v>12</v>
      </c>
      <c r="C11" s="14"/>
      <c r="D11" s="14"/>
      <c r="E11" s="14"/>
      <c r="F11" s="14"/>
      <c r="G11" s="14"/>
      <c r="H11" s="14"/>
      <c r="I11" s="2"/>
    </row>
    <row r="12" customFormat="false" ht="13.5" hidden="false" customHeight="true" outlineLevel="0" collapsed="false">
      <c r="A12" s="13"/>
      <c r="B12" s="14"/>
      <c r="C12" s="14"/>
      <c r="D12" s="14"/>
      <c r="E12" s="14"/>
      <c r="F12" s="14"/>
      <c r="G12" s="14"/>
      <c r="H12" s="14"/>
      <c r="I12" s="2"/>
    </row>
    <row r="13" customFormat="false" ht="13.5" hidden="false" customHeight="true" outlineLevel="0" collapsed="false">
      <c r="A13" s="13"/>
      <c r="B13" s="14" t="s">
        <v>13</v>
      </c>
      <c r="C13" s="14"/>
      <c r="D13" s="14"/>
      <c r="E13" s="14"/>
      <c r="F13" s="14"/>
      <c r="G13" s="14"/>
      <c r="H13" s="14"/>
      <c r="I13" s="2"/>
    </row>
    <row r="14" customFormat="false" ht="13.5" hidden="false" customHeight="true" outlineLevel="0" collapsed="false">
      <c r="A14" s="13"/>
      <c r="B14" s="14" t="s">
        <v>14</v>
      </c>
      <c r="C14" s="14"/>
      <c r="D14" s="14"/>
      <c r="E14" s="14"/>
      <c r="F14" s="14"/>
      <c r="G14" s="14"/>
      <c r="H14" s="14"/>
      <c r="I14" s="2"/>
    </row>
    <row r="15" customFormat="false" ht="13.5" hidden="false" customHeight="true" outlineLevel="0" collapsed="false">
      <c r="A15" s="13"/>
      <c r="B15" s="14" t="s">
        <v>15</v>
      </c>
      <c r="C15" s="14"/>
      <c r="D15" s="14"/>
      <c r="E15" s="14"/>
      <c r="F15" s="14"/>
      <c r="G15" s="14"/>
      <c r="H15" s="14"/>
      <c r="I15" s="2"/>
    </row>
    <row r="16" customFormat="false" ht="13.5" hidden="false" customHeight="true" outlineLevel="0" collapsed="false">
      <c r="A16" s="13"/>
      <c r="B16" s="14" t="s">
        <v>16</v>
      </c>
      <c r="C16" s="14"/>
      <c r="D16" s="14"/>
      <c r="E16" s="14"/>
      <c r="F16" s="14"/>
      <c r="G16" s="14"/>
      <c r="H16" s="14"/>
      <c r="I16" s="2"/>
    </row>
    <row r="17" customFormat="false" ht="13.5" hidden="false" customHeight="true" outlineLevel="0" collapsed="false">
      <c r="A17" s="13"/>
      <c r="B17" s="14" t="s">
        <v>17</v>
      </c>
      <c r="C17" s="14"/>
      <c r="D17" s="14"/>
      <c r="E17" s="14"/>
      <c r="F17" s="14"/>
      <c r="G17" s="14"/>
      <c r="H17" s="14"/>
      <c r="I17" s="2"/>
    </row>
    <row r="18" customFormat="false" ht="13.5" hidden="false" customHeight="true" outlineLevel="0" collapsed="false">
      <c r="A18" s="13"/>
      <c r="B18" s="14" t="s">
        <v>18</v>
      </c>
      <c r="C18" s="14"/>
      <c r="D18" s="14"/>
      <c r="E18" s="14"/>
      <c r="F18" s="14"/>
      <c r="G18" s="14"/>
      <c r="H18" s="14"/>
      <c r="I18" s="2"/>
    </row>
    <row r="19" customFormat="false" ht="13.5" hidden="false" customHeight="true" outlineLevel="0" collapsed="false">
      <c r="A19" s="13"/>
      <c r="B19" s="14" t="s">
        <v>19</v>
      </c>
      <c r="C19" s="14"/>
      <c r="D19" s="14"/>
      <c r="E19" s="14"/>
      <c r="F19" s="14"/>
      <c r="G19" s="14"/>
      <c r="H19" s="14"/>
      <c r="I19" s="2"/>
    </row>
    <row r="20" customFormat="false" ht="13.5" hidden="false" customHeight="true" outlineLevel="0" collapsed="false">
      <c r="A20" s="13"/>
      <c r="B20" s="14" t="s">
        <v>20</v>
      </c>
      <c r="C20" s="14"/>
      <c r="D20" s="14"/>
      <c r="E20" s="14"/>
      <c r="F20" s="14"/>
      <c r="G20" s="14"/>
      <c r="H20" s="14"/>
      <c r="I20" s="2"/>
    </row>
    <row r="21" customFormat="false" ht="13.5" hidden="false" customHeight="true" outlineLevel="0" collapsed="false">
      <c r="A21" s="13"/>
      <c r="B21" s="14" t="s">
        <v>21</v>
      </c>
      <c r="C21" s="14"/>
      <c r="D21" s="14"/>
      <c r="E21" s="14"/>
      <c r="F21" s="14"/>
      <c r="G21" s="14"/>
      <c r="H21" s="14"/>
      <c r="I21" s="2"/>
    </row>
    <row r="22" customFormat="false" ht="13.5" hidden="false" customHeight="true" outlineLevel="0" collapsed="false">
      <c r="A22" s="13"/>
      <c r="B22" s="14" t="s">
        <v>22</v>
      </c>
      <c r="C22" s="14"/>
      <c r="D22" s="14"/>
      <c r="E22" s="14"/>
      <c r="F22" s="14"/>
      <c r="G22" s="14"/>
      <c r="H22" s="14"/>
      <c r="I22" s="2"/>
    </row>
    <row r="23" customFormat="false" ht="13.5" hidden="false" customHeight="true" outlineLevel="0" collapsed="false">
      <c r="A23" s="13"/>
      <c r="B23" s="14" t="s">
        <v>23</v>
      </c>
      <c r="C23" s="14"/>
      <c r="D23" s="14"/>
      <c r="E23" s="14"/>
      <c r="F23" s="14"/>
      <c r="G23" s="14"/>
      <c r="H23" s="14"/>
      <c r="I23" s="2"/>
    </row>
    <row r="24" customFormat="false" ht="13.5" hidden="false" customHeight="true" outlineLevel="0" collapsed="false">
      <c r="A24" s="13"/>
      <c r="B24" s="14" t="s">
        <v>24</v>
      </c>
      <c r="C24" s="14"/>
      <c r="D24" s="14"/>
      <c r="E24" s="14"/>
      <c r="F24" s="14"/>
      <c r="G24" s="14"/>
      <c r="H24" s="14"/>
      <c r="I24" s="2"/>
    </row>
    <row r="25" customFormat="false" ht="13.5" hidden="false" customHeight="true" outlineLevel="0" collapsed="false">
      <c r="A25" s="13"/>
      <c r="B25" s="14" t="s">
        <v>25</v>
      </c>
      <c r="C25" s="14"/>
      <c r="D25" s="14"/>
      <c r="E25" s="14"/>
      <c r="F25" s="14"/>
      <c r="G25" s="14"/>
      <c r="H25" s="14"/>
      <c r="I25" s="2"/>
    </row>
    <row r="26" customFormat="false" ht="13.5" hidden="false" customHeight="true" outlineLevel="0" collapsed="false">
      <c r="A26" s="13"/>
      <c r="B26" s="14"/>
      <c r="C26" s="14"/>
      <c r="D26" s="14"/>
      <c r="E26" s="14"/>
      <c r="F26" s="14"/>
      <c r="G26" s="14"/>
      <c r="H26" s="14"/>
      <c r="I26" s="2"/>
    </row>
    <row r="27" customFormat="false" ht="13.5" hidden="false" customHeight="true" outlineLevel="0" collapsed="false">
      <c r="A27" s="13"/>
      <c r="B27" s="14" t="s">
        <v>26</v>
      </c>
      <c r="C27" s="14"/>
      <c r="D27" s="14"/>
      <c r="E27" s="14"/>
      <c r="F27" s="14"/>
      <c r="G27" s="14"/>
      <c r="H27" s="14"/>
      <c r="I27" s="2"/>
    </row>
    <row r="28" customFormat="false" ht="13.5" hidden="false" customHeight="true" outlineLevel="0" collapsed="false">
      <c r="A28" s="13"/>
      <c r="B28" s="14" t="s">
        <v>27</v>
      </c>
      <c r="C28" s="14"/>
      <c r="D28" s="14"/>
      <c r="E28" s="14"/>
      <c r="F28" s="14"/>
      <c r="G28" s="14"/>
      <c r="H28" s="14"/>
      <c r="I28" s="2"/>
    </row>
    <row r="29" customFormat="false" ht="13.5" hidden="false" customHeight="true" outlineLevel="0" collapsed="false">
      <c r="A29" s="13"/>
      <c r="B29" s="14" t="s">
        <v>28</v>
      </c>
      <c r="C29" s="14"/>
      <c r="D29" s="14"/>
      <c r="E29" s="14"/>
      <c r="F29" s="14"/>
      <c r="G29" s="14"/>
      <c r="H29" s="14"/>
      <c r="I29" s="2"/>
    </row>
    <row r="30" customFormat="false" ht="13.5" hidden="false" customHeight="true" outlineLevel="0" collapsed="false">
      <c r="A30" s="13"/>
      <c r="B30" s="14" t="s">
        <v>29</v>
      </c>
      <c r="C30" s="14"/>
      <c r="D30" s="14"/>
      <c r="E30" s="14"/>
      <c r="F30" s="14"/>
      <c r="G30" s="14"/>
      <c r="H30" s="14"/>
      <c r="I30" s="2"/>
    </row>
    <row r="31" customFormat="false" ht="13.5" hidden="false" customHeight="true" outlineLevel="0" collapsed="false">
      <c r="A31" s="13"/>
      <c r="B31" s="14" t="s">
        <v>30</v>
      </c>
      <c r="C31" s="14"/>
      <c r="D31" s="14"/>
      <c r="E31" s="14"/>
      <c r="F31" s="14"/>
      <c r="G31" s="14"/>
      <c r="H31" s="14"/>
      <c r="I31" s="2"/>
    </row>
    <row r="32" customFormat="false" ht="13.5" hidden="false" customHeight="true" outlineLevel="0" collapsed="false">
      <c r="A32" s="13"/>
      <c r="B32" s="14" t="s">
        <v>31</v>
      </c>
      <c r="C32" s="14"/>
      <c r="D32" s="14"/>
      <c r="E32" s="14"/>
      <c r="F32" s="14"/>
      <c r="G32" s="14"/>
      <c r="H32" s="14"/>
      <c r="I32" s="2"/>
    </row>
    <row r="33" customFormat="false" ht="13.5" hidden="false" customHeight="true" outlineLevel="0" collapsed="false">
      <c r="A33" s="13"/>
      <c r="B33" s="14" t="s">
        <v>32</v>
      </c>
      <c r="C33" s="14"/>
      <c r="D33" s="14"/>
      <c r="E33" s="14"/>
      <c r="F33" s="14"/>
      <c r="G33" s="14"/>
      <c r="H33" s="14"/>
      <c r="I33" s="2"/>
    </row>
    <row r="34" customFormat="false" ht="13.5" hidden="false" customHeight="true" outlineLevel="0" collapsed="false">
      <c r="A34" s="13"/>
      <c r="B34" s="14" t="s">
        <v>33</v>
      </c>
      <c r="C34" s="14"/>
      <c r="D34" s="14"/>
      <c r="E34" s="14"/>
      <c r="F34" s="14"/>
      <c r="G34" s="14"/>
      <c r="H34" s="14"/>
      <c r="I34" s="2"/>
    </row>
    <row r="35" customFormat="false" ht="13.5" hidden="false" customHeight="true" outlineLevel="0" collapsed="false">
      <c r="A35" s="13"/>
      <c r="B35" s="14" t="s">
        <v>34</v>
      </c>
      <c r="C35" s="14"/>
      <c r="D35" s="14"/>
      <c r="E35" s="14"/>
      <c r="F35" s="14"/>
      <c r="G35" s="14"/>
      <c r="H35" s="14"/>
      <c r="I35" s="2"/>
    </row>
    <row r="36" customFormat="false" ht="13.5" hidden="false" customHeight="true" outlineLevel="0" collapsed="false">
      <c r="A36" s="13"/>
      <c r="B36" s="14" t="s">
        <v>35</v>
      </c>
      <c r="C36" s="14"/>
      <c r="D36" s="14"/>
      <c r="E36" s="14"/>
      <c r="F36" s="14"/>
      <c r="G36" s="14"/>
      <c r="H36" s="14"/>
      <c r="I36" s="2"/>
    </row>
    <row r="37" customFormat="false" ht="13.5" hidden="false" customHeight="true" outlineLevel="0" collapsed="false">
      <c r="A37" s="13"/>
      <c r="B37" s="14" t="s">
        <v>36</v>
      </c>
      <c r="C37" s="14"/>
      <c r="D37" s="14"/>
      <c r="E37" s="14"/>
      <c r="F37" s="14"/>
      <c r="G37" s="14"/>
      <c r="H37" s="14"/>
      <c r="I37" s="2"/>
    </row>
    <row r="38" customFormat="false" ht="13.5" hidden="false" customHeight="true" outlineLevel="0" collapsed="false">
      <c r="A38" s="13"/>
      <c r="B38" s="14" t="s">
        <v>37</v>
      </c>
      <c r="C38" s="14"/>
      <c r="D38" s="14"/>
      <c r="E38" s="14"/>
      <c r="F38" s="14"/>
      <c r="G38" s="14"/>
      <c r="H38" s="14"/>
      <c r="I38" s="2"/>
    </row>
    <row r="39" customFormat="false" ht="13.5" hidden="false" customHeight="true" outlineLevel="0" collapsed="false">
      <c r="A39" s="13"/>
      <c r="B39" s="14" t="s">
        <v>38</v>
      </c>
      <c r="C39" s="14"/>
      <c r="D39" s="14"/>
      <c r="E39" s="14"/>
      <c r="F39" s="14"/>
      <c r="G39" s="14"/>
      <c r="H39" s="14"/>
      <c r="I39" s="2"/>
    </row>
    <row r="40" customFormat="false" ht="13.5" hidden="false" customHeight="true" outlineLevel="0" collapsed="false">
      <c r="A40" s="13"/>
      <c r="B40" s="14" t="s">
        <v>39</v>
      </c>
      <c r="C40" s="14"/>
      <c r="D40" s="14"/>
      <c r="E40" s="14"/>
      <c r="F40" s="14"/>
      <c r="G40" s="14"/>
      <c r="H40" s="14"/>
      <c r="I40" s="2"/>
    </row>
    <row r="41" customFormat="false" ht="13.5" hidden="false" customHeight="true" outlineLevel="0" collapsed="false">
      <c r="A41" s="13"/>
      <c r="B41" s="14" t="s">
        <v>40</v>
      </c>
      <c r="C41" s="14"/>
      <c r="D41" s="14"/>
      <c r="E41" s="14"/>
      <c r="F41" s="14"/>
      <c r="G41" s="14"/>
      <c r="H41" s="14"/>
      <c r="I41" s="2"/>
    </row>
    <row r="42" customFormat="false" ht="13.5" hidden="false" customHeight="true" outlineLevel="0" collapsed="false">
      <c r="A42" s="13"/>
      <c r="B42" s="14" t="s">
        <v>41</v>
      </c>
      <c r="C42" s="14"/>
      <c r="D42" s="14"/>
      <c r="E42" s="14"/>
      <c r="F42" s="14"/>
      <c r="G42" s="14"/>
      <c r="H42" s="14"/>
      <c r="I42" s="2"/>
    </row>
    <row r="43" customFormat="false" ht="13.5" hidden="false" customHeight="true" outlineLevel="0" collapsed="false">
      <c r="A43" s="13"/>
      <c r="B43" s="14" t="s">
        <v>42</v>
      </c>
      <c r="C43" s="14"/>
      <c r="D43" s="14"/>
      <c r="E43" s="14"/>
      <c r="F43" s="14"/>
      <c r="G43" s="14"/>
      <c r="H43" s="14"/>
      <c r="I43" s="2"/>
    </row>
    <row r="44" customFormat="false" ht="13.5" hidden="false" customHeight="true" outlineLevel="0" collapsed="false">
      <c r="A44" s="13"/>
      <c r="B44" s="14" t="s">
        <v>43</v>
      </c>
      <c r="C44" s="14"/>
      <c r="D44" s="14"/>
      <c r="E44" s="14"/>
      <c r="F44" s="14"/>
      <c r="G44" s="14"/>
      <c r="H44" s="14"/>
      <c r="I44" s="2"/>
    </row>
    <row r="45" customFormat="false" ht="13.5" hidden="false" customHeight="true" outlineLevel="0" collapsed="false">
      <c r="A45" s="13"/>
      <c r="B45" s="14" t="s">
        <v>44</v>
      </c>
      <c r="C45" s="14"/>
      <c r="D45" s="14"/>
      <c r="E45" s="14"/>
      <c r="F45" s="14"/>
      <c r="G45" s="14"/>
      <c r="H45" s="14"/>
      <c r="I45" s="2"/>
    </row>
    <row r="46" customFormat="false" ht="13.5" hidden="false" customHeight="true" outlineLevel="0" collapsed="false">
      <c r="A46" s="13"/>
      <c r="B46" s="14" t="s">
        <v>45</v>
      </c>
      <c r="C46" s="14"/>
      <c r="D46" s="14"/>
      <c r="E46" s="14"/>
      <c r="F46" s="14"/>
      <c r="G46" s="14"/>
      <c r="H46" s="14"/>
      <c r="I46" s="2"/>
    </row>
    <row r="47" customFormat="false" ht="13.5" hidden="false" customHeight="true" outlineLevel="0" collapsed="false">
      <c r="A47" s="13"/>
      <c r="B47" s="14" t="s">
        <v>46</v>
      </c>
      <c r="C47" s="14"/>
      <c r="D47" s="14"/>
      <c r="E47" s="14"/>
      <c r="F47" s="14"/>
      <c r="G47" s="14"/>
      <c r="H47" s="14"/>
      <c r="I47" s="2"/>
    </row>
    <row r="48" customFormat="false" ht="13.5" hidden="false" customHeight="true" outlineLevel="0" collapsed="false">
      <c r="A48" s="13"/>
      <c r="B48" s="14" t="s">
        <v>47</v>
      </c>
      <c r="C48" s="14"/>
      <c r="D48" s="14"/>
      <c r="E48" s="14"/>
      <c r="F48" s="14"/>
      <c r="G48" s="14"/>
      <c r="H48" s="14"/>
      <c r="I48" s="2"/>
    </row>
    <row r="49" customFormat="false" ht="13.5" hidden="false" customHeight="true" outlineLevel="0" collapsed="false">
      <c r="A49" s="13"/>
      <c r="B49" s="14" t="s">
        <v>48</v>
      </c>
      <c r="C49" s="14"/>
      <c r="D49" s="14"/>
      <c r="E49" s="14"/>
      <c r="F49" s="14"/>
      <c r="G49" s="14"/>
      <c r="H49" s="14"/>
      <c r="I49" s="2"/>
    </row>
    <row r="50" customFormat="false" ht="13.5" hidden="false" customHeight="true" outlineLevel="0" collapsed="false">
      <c r="A50" s="13"/>
      <c r="B50" s="14" t="s">
        <v>49</v>
      </c>
      <c r="C50" s="14"/>
      <c r="D50" s="14"/>
      <c r="E50" s="14"/>
      <c r="F50" s="14"/>
      <c r="G50" s="14"/>
      <c r="H50" s="14"/>
      <c r="I50" s="2"/>
    </row>
    <row r="51" customFormat="false" ht="13.5" hidden="false" customHeight="true" outlineLevel="0" collapsed="false">
      <c r="A51" s="13"/>
      <c r="B51" s="14" t="s">
        <v>50</v>
      </c>
      <c r="C51" s="14"/>
      <c r="D51" s="14"/>
      <c r="E51" s="14"/>
      <c r="F51" s="14"/>
      <c r="G51" s="14"/>
      <c r="H51" s="14"/>
      <c r="I51" s="2"/>
    </row>
    <row r="52" customFormat="false" ht="13.5" hidden="false" customHeight="true" outlineLevel="0" collapsed="false">
      <c r="A52" s="13"/>
      <c r="B52" s="14" t="s">
        <v>51</v>
      </c>
      <c r="C52" s="14"/>
      <c r="D52" s="14"/>
      <c r="E52" s="14"/>
      <c r="F52" s="14"/>
      <c r="G52" s="14"/>
      <c r="H52" s="14"/>
      <c r="I52" s="2"/>
    </row>
    <row r="53" customFormat="false" ht="13.5" hidden="false" customHeight="true" outlineLevel="0" collapsed="false">
      <c r="A53" s="13"/>
      <c r="B53" s="14" t="s">
        <v>52</v>
      </c>
      <c r="C53" s="14"/>
      <c r="D53" s="14"/>
      <c r="E53" s="14"/>
      <c r="F53" s="14"/>
      <c r="G53" s="14"/>
      <c r="H53" s="14"/>
      <c r="I53" s="2"/>
    </row>
    <row r="54" customFormat="false" ht="13.5" hidden="false" customHeight="true" outlineLevel="0" collapsed="false">
      <c r="A54" s="13"/>
      <c r="B54" s="14" t="s">
        <v>53</v>
      </c>
      <c r="C54" s="14"/>
      <c r="D54" s="14"/>
      <c r="E54" s="14"/>
      <c r="F54" s="14"/>
      <c r="G54" s="14"/>
      <c r="H54" s="14"/>
      <c r="I54" s="2"/>
    </row>
    <row r="55" customFormat="false" ht="13.5" hidden="false" customHeight="true" outlineLevel="0" collapsed="false">
      <c r="A55" s="13"/>
      <c r="B55" s="14" t="s">
        <v>54</v>
      </c>
      <c r="C55" s="14"/>
      <c r="D55" s="14"/>
      <c r="E55" s="14"/>
      <c r="F55" s="14"/>
      <c r="G55" s="14"/>
      <c r="H55" s="14"/>
      <c r="I55" s="2"/>
    </row>
    <row r="56" customFormat="false" ht="13.5" hidden="false" customHeight="true" outlineLevel="0" collapsed="false">
      <c r="A56" s="13"/>
      <c r="B56" s="14" t="s">
        <v>55</v>
      </c>
      <c r="C56" s="14"/>
      <c r="D56" s="14"/>
      <c r="E56" s="14"/>
      <c r="F56" s="14"/>
      <c r="G56" s="14"/>
      <c r="H56" s="14"/>
      <c r="I56" s="2"/>
    </row>
    <row r="57" customFormat="false" ht="13.5" hidden="false" customHeight="true" outlineLevel="0" collapsed="false">
      <c r="A57" s="13"/>
      <c r="B57" s="14" t="s">
        <v>56</v>
      </c>
      <c r="C57" s="14"/>
      <c r="D57" s="14"/>
      <c r="E57" s="14"/>
      <c r="F57" s="14"/>
      <c r="G57" s="14"/>
      <c r="H57" s="14"/>
      <c r="I57" s="2"/>
    </row>
    <row r="58" customFormat="false" ht="13.5" hidden="false" customHeight="true" outlineLevel="0" collapsed="false">
      <c r="A58" s="13"/>
      <c r="B58" s="14" t="s">
        <v>57</v>
      </c>
      <c r="C58" s="14"/>
      <c r="D58" s="14"/>
      <c r="E58" s="14"/>
      <c r="F58" s="14"/>
      <c r="G58" s="14"/>
      <c r="H58" s="14"/>
      <c r="I58" s="2"/>
    </row>
    <row r="59" customFormat="false" ht="13.5" hidden="false" customHeight="true" outlineLevel="0" collapsed="false">
      <c r="A59" s="13"/>
      <c r="B59" s="14" t="s">
        <v>58</v>
      </c>
      <c r="C59" s="14"/>
      <c r="D59" s="14"/>
      <c r="E59" s="14"/>
      <c r="F59" s="14"/>
      <c r="G59" s="14"/>
      <c r="H59" s="14"/>
      <c r="I59" s="2"/>
    </row>
    <row r="60" customFormat="false" ht="13.5" hidden="false" customHeight="true" outlineLevel="0" collapsed="false">
      <c r="A60" s="13"/>
      <c r="B60" s="14" t="s">
        <v>59</v>
      </c>
      <c r="C60" s="14"/>
      <c r="D60" s="14"/>
      <c r="E60" s="14"/>
      <c r="F60" s="14"/>
      <c r="G60" s="14"/>
      <c r="H60" s="14"/>
      <c r="I60" s="2"/>
    </row>
    <row r="61" customFormat="false" ht="13.5" hidden="false" customHeight="true" outlineLevel="0" collapsed="false">
      <c r="A61" s="13"/>
      <c r="B61" s="14" t="s">
        <v>60</v>
      </c>
      <c r="C61" s="14"/>
      <c r="D61" s="14"/>
      <c r="E61" s="14"/>
      <c r="F61" s="14"/>
      <c r="G61" s="14"/>
      <c r="H61" s="14"/>
      <c r="I61" s="2"/>
    </row>
    <row r="62" customFormat="false" ht="13.5" hidden="false" customHeight="true" outlineLevel="0" collapsed="false">
      <c r="A62" s="13"/>
      <c r="B62" s="14" t="s">
        <v>61</v>
      </c>
      <c r="C62" s="14"/>
      <c r="D62" s="14"/>
      <c r="E62" s="14"/>
      <c r="F62" s="14"/>
      <c r="G62" s="14"/>
      <c r="H62" s="14"/>
      <c r="I62" s="2"/>
    </row>
    <row r="63" customFormat="false" ht="13.5" hidden="false" customHeight="true" outlineLevel="0" collapsed="false">
      <c r="A63" s="13"/>
      <c r="B63" s="14" t="s">
        <v>62</v>
      </c>
      <c r="C63" s="14"/>
      <c r="D63" s="14"/>
      <c r="E63" s="14"/>
      <c r="F63" s="14"/>
      <c r="G63" s="14"/>
      <c r="H63" s="14"/>
      <c r="I63" s="2"/>
    </row>
    <row r="64" customFormat="false" ht="13.5" hidden="false" customHeight="true" outlineLevel="0" collapsed="false">
      <c r="A64" s="13"/>
      <c r="B64" s="14" t="s">
        <v>63</v>
      </c>
      <c r="C64" s="14"/>
      <c r="D64" s="14"/>
      <c r="E64" s="14"/>
      <c r="F64" s="14"/>
      <c r="G64" s="14"/>
      <c r="H64" s="14"/>
      <c r="I64" s="2"/>
    </row>
    <row r="65" customFormat="false" ht="13.5" hidden="false" customHeight="true" outlineLevel="0" collapsed="false">
      <c r="A65" s="13"/>
      <c r="B65" s="14" t="s">
        <v>64</v>
      </c>
      <c r="C65" s="14"/>
      <c r="D65" s="14"/>
      <c r="E65" s="14"/>
      <c r="F65" s="14"/>
      <c r="G65" s="14"/>
      <c r="H65" s="14"/>
      <c r="I65" s="2"/>
    </row>
    <row r="66" customFormat="false" ht="13.5" hidden="false" customHeight="true" outlineLevel="0" collapsed="false">
      <c r="A66" s="13"/>
      <c r="B66" s="14" t="s">
        <v>65</v>
      </c>
      <c r="C66" s="14"/>
      <c r="D66" s="14"/>
      <c r="E66" s="14"/>
      <c r="F66" s="14"/>
      <c r="G66" s="14"/>
      <c r="H66" s="14"/>
      <c r="I66" s="2"/>
    </row>
    <row r="67" customFormat="false" ht="13.5" hidden="false" customHeight="true" outlineLevel="0" collapsed="false">
      <c r="A67" s="13"/>
      <c r="B67" s="14" t="s">
        <v>66</v>
      </c>
      <c r="C67" s="14"/>
      <c r="D67" s="14"/>
      <c r="E67" s="14"/>
      <c r="F67" s="14"/>
      <c r="G67" s="14"/>
      <c r="H67" s="14"/>
      <c r="I67" s="2"/>
    </row>
    <row r="68" customFormat="false" ht="13.5" hidden="false" customHeight="true" outlineLevel="0" collapsed="false">
      <c r="A68" s="13"/>
      <c r="B68" s="14" t="s">
        <v>67</v>
      </c>
      <c r="C68" s="14"/>
      <c r="D68" s="14"/>
      <c r="E68" s="14"/>
      <c r="F68" s="14"/>
      <c r="G68" s="14"/>
      <c r="H68" s="14"/>
      <c r="I68" s="2"/>
    </row>
    <row r="69" customFormat="false" ht="13.5" hidden="false" customHeight="true" outlineLevel="0" collapsed="false">
      <c r="A69" s="13"/>
      <c r="B69" s="14" t="s">
        <v>68</v>
      </c>
      <c r="C69" s="14"/>
      <c r="D69" s="14"/>
      <c r="E69" s="14"/>
      <c r="F69" s="14"/>
      <c r="G69" s="14"/>
      <c r="H69" s="14"/>
      <c r="I69" s="2"/>
    </row>
    <row r="70" customFormat="false" ht="13.5" hidden="false" customHeight="true" outlineLevel="0" collapsed="false">
      <c r="A70" s="13"/>
      <c r="B70" s="14" t="s">
        <v>69</v>
      </c>
      <c r="C70" s="14"/>
      <c r="D70" s="14"/>
      <c r="E70" s="14"/>
      <c r="F70" s="14"/>
      <c r="G70" s="14"/>
      <c r="H70" s="14"/>
      <c r="I70" s="2"/>
    </row>
    <row r="71" customFormat="false" ht="13.5" hidden="false" customHeight="true" outlineLevel="0" collapsed="false">
      <c r="A71" s="13"/>
      <c r="B71" s="14" t="s">
        <v>70</v>
      </c>
      <c r="C71" s="14"/>
      <c r="D71" s="14"/>
      <c r="E71" s="14"/>
      <c r="F71" s="14"/>
      <c r="G71" s="14"/>
      <c r="H71" s="14"/>
      <c r="I71" s="2"/>
    </row>
    <row r="72" customFormat="false" ht="13.5" hidden="false" customHeight="true" outlineLevel="0" collapsed="false">
      <c r="A72" s="13"/>
      <c r="B72" s="14" t="s">
        <v>71</v>
      </c>
      <c r="C72" s="14"/>
      <c r="D72" s="14"/>
      <c r="E72" s="14"/>
      <c r="F72" s="14"/>
      <c r="G72" s="14"/>
      <c r="H72" s="14"/>
      <c r="I72" s="2"/>
    </row>
    <row r="73" customFormat="false" ht="13.5" hidden="false" customHeight="true" outlineLevel="0" collapsed="false">
      <c r="A73" s="13"/>
      <c r="B73" s="14" t="s">
        <v>72</v>
      </c>
      <c r="C73" s="14"/>
      <c r="D73" s="14"/>
      <c r="E73" s="14"/>
      <c r="F73" s="14"/>
      <c r="G73" s="14"/>
      <c r="H73" s="14"/>
      <c r="I73" s="2"/>
    </row>
    <row r="74" customFormat="false" ht="13.5" hidden="false" customHeight="true" outlineLevel="0" collapsed="false">
      <c r="A74" s="13"/>
      <c r="B74" s="14" t="s">
        <v>73</v>
      </c>
      <c r="C74" s="14"/>
      <c r="D74" s="14"/>
      <c r="E74" s="14"/>
      <c r="F74" s="14"/>
      <c r="G74" s="14"/>
      <c r="H74" s="14"/>
      <c r="I74" s="2"/>
    </row>
    <row r="75" customFormat="false" ht="13.5" hidden="false" customHeight="true" outlineLevel="0" collapsed="false">
      <c r="A75" s="13"/>
      <c r="B75" s="14" t="s">
        <v>74</v>
      </c>
      <c r="C75" s="14"/>
      <c r="D75" s="14"/>
      <c r="E75" s="14"/>
      <c r="F75" s="14"/>
      <c r="G75" s="14"/>
      <c r="H75" s="14"/>
      <c r="I75" s="2"/>
    </row>
    <row r="76" customFormat="false" ht="13.5" hidden="false" customHeight="true" outlineLevel="0" collapsed="false">
      <c r="A76" s="13"/>
      <c r="B76" s="14" t="s">
        <v>75</v>
      </c>
      <c r="C76" s="14"/>
      <c r="D76" s="14"/>
      <c r="E76" s="14"/>
      <c r="F76" s="14"/>
      <c r="G76" s="14"/>
      <c r="H76" s="14"/>
      <c r="I76" s="2"/>
    </row>
    <row r="77" customFormat="false" ht="13.5" hidden="false" customHeight="true" outlineLevel="0" collapsed="false">
      <c r="A77" s="13"/>
      <c r="B77" s="14" t="s">
        <v>76</v>
      </c>
      <c r="C77" s="14"/>
      <c r="D77" s="14"/>
      <c r="E77" s="14"/>
      <c r="F77" s="14"/>
      <c r="G77" s="14"/>
      <c r="H77" s="14"/>
      <c r="I77" s="2"/>
    </row>
    <row r="78" customFormat="false" ht="13.5" hidden="false" customHeight="true" outlineLevel="0" collapsed="false">
      <c r="A78" s="13"/>
      <c r="B78" s="14" t="s">
        <v>77</v>
      </c>
      <c r="C78" s="14"/>
      <c r="D78" s="14"/>
      <c r="E78" s="14"/>
      <c r="F78" s="14"/>
      <c r="G78" s="14"/>
      <c r="H78" s="14"/>
      <c r="I78" s="2"/>
    </row>
    <row r="79" customFormat="false" ht="13.5" hidden="false" customHeight="true" outlineLevel="0" collapsed="false">
      <c r="A79" s="13"/>
      <c r="B79" s="14" t="s">
        <v>78</v>
      </c>
      <c r="C79" s="14"/>
      <c r="D79" s="14"/>
      <c r="E79" s="14"/>
      <c r="F79" s="14"/>
      <c r="G79" s="14"/>
      <c r="H79" s="14"/>
      <c r="I79" s="2"/>
    </row>
    <row r="80" customFormat="false" ht="13.5" hidden="false" customHeight="true" outlineLevel="0" collapsed="false">
      <c r="A80" s="13"/>
      <c r="B80" s="14" t="s">
        <v>79</v>
      </c>
      <c r="C80" s="14"/>
      <c r="D80" s="14"/>
      <c r="E80" s="14"/>
      <c r="F80" s="14"/>
      <c r="G80" s="14"/>
      <c r="H80" s="14"/>
      <c r="I80" s="2"/>
    </row>
    <row r="81" customFormat="false" ht="13.5" hidden="false" customHeight="true" outlineLevel="0" collapsed="false">
      <c r="A81" s="13"/>
      <c r="B81" s="14" t="s">
        <v>80</v>
      </c>
      <c r="C81" s="14"/>
      <c r="D81" s="14"/>
      <c r="E81" s="14"/>
      <c r="F81" s="14"/>
      <c r="G81" s="14"/>
      <c r="H81" s="14"/>
      <c r="I81" s="2"/>
    </row>
    <row r="82" customFormat="false" ht="13.5" hidden="false" customHeight="true" outlineLevel="0" collapsed="false">
      <c r="A82" s="13"/>
      <c r="B82" s="14" t="s">
        <v>81</v>
      </c>
      <c r="C82" s="14"/>
      <c r="D82" s="14"/>
      <c r="E82" s="14"/>
      <c r="F82" s="14"/>
      <c r="G82" s="14"/>
      <c r="H82" s="14"/>
      <c r="I82" s="2"/>
    </row>
    <row r="83" customFormat="false" ht="13.5" hidden="false" customHeight="true" outlineLevel="0" collapsed="false">
      <c r="A83" s="13"/>
      <c r="B83" s="14" t="s">
        <v>82</v>
      </c>
      <c r="C83" s="14"/>
      <c r="D83" s="14"/>
      <c r="E83" s="14"/>
      <c r="F83" s="14"/>
      <c r="G83" s="14"/>
      <c r="H83" s="14"/>
      <c r="I83" s="2"/>
    </row>
    <row r="84" customFormat="false" ht="13.5" hidden="false" customHeight="true" outlineLevel="0" collapsed="false">
      <c r="A84" s="13"/>
      <c r="B84" s="14" t="s">
        <v>83</v>
      </c>
      <c r="C84" s="14"/>
      <c r="D84" s="14"/>
      <c r="E84" s="14"/>
      <c r="F84" s="14"/>
      <c r="G84" s="14"/>
      <c r="H84" s="14"/>
      <c r="I84" s="2"/>
    </row>
    <row r="85" customFormat="false" ht="13.5" hidden="false" customHeight="true" outlineLevel="0" collapsed="false">
      <c r="A85" s="13"/>
      <c r="B85" s="14" t="s">
        <v>84</v>
      </c>
      <c r="C85" s="14"/>
      <c r="D85" s="14"/>
      <c r="E85" s="14"/>
      <c r="F85" s="14"/>
      <c r="G85" s="14"/>
      <c r="H85" s="14"/>
      <c r="I85" s="2"/>
    </row>
    <row r="86" customFormat="false" ht="13.5" hidden="false" customHeight="true" outlineLevel="0" collapsed="false">
      <c r="A86" s="13"/>
      <c r="B86" s="14" t="s">
        <v>85</v>
      </c>
      <c r="C86" s="14"/>
      <c r="D86" s="14"/>
      <c r="E86" s="14"/>
      <c r="F86" s="14"/>
      <c r="G86" s="14"/>
      <c r="H86" s="14"/>
      <c r="I86" s="2"/>
    </row>
    <row r="87" customFormat="false" ht="13.5" hidden="false" customHeight="true" outlineLevel="0" collapsed="false">
      <c r="A87" s="13"/>
      <c r="B87" s="14" t="s">
        <v>86</v>
      </c>
      <c r="C87" s="14"/>
      <c r="D87" s="14"/>
      <c r="E87" s="14"/>
      <c r="F87" s="14"/>
      <c r="G87" s="14"/>
      <c r="H87" s="14"/>
      <c r="I87" s="2"/>
    </row>
    <row r="88" customFormat="false" ht="13.5" hidden="false" customHeight="true" outlineLevel="0" collapsed="false">
      <c r="A88" s="13"/>
      <c r="B88" s="14" t="s">
        <v>87</v>
      </c>
      <c r="C88" s="14"/>
      <c r="D88" s="14"/>
      <c r="E88" s="14"/>
      <c r="F88" s="14"/>
      <c r="G88" s="14"/>
      <c r="H88" s="14"/>
      <c r="I88" s="2"/>
    </row>
    <row r="89" customFormat="false" ht="13.5" hidden="false" customHeight="true" outlineLevel="0" collapsed="false">
      <c r="A89" s="13"/>
      <c r="B89" s="14" t="s">
        <v>88</v>
      </c>
      <c r="C89" s="14"/>
      <c r="D89" s="14"/>
      <c r="E89" s="14"/>
      <c r="F89" s="14"/>
      <c r="G89" s="14"/>
      <c r="H89" s="14"/>
      <c r="I89" s="2"/>
    </row>
    <row r="90" customFormat="false" ht="13.5" hidden="false" customHeight="true" outlineLevel="0" collapsed="false">
      <c r="A90" s="13"/>
      <c r="B90" s="14" t="s">
        <v>85</v>
      </c>
      <c r="C90" s="14"/>
      <c r="D90" s="14"/>
      <c r="E90" s="14"/>
      <c r="F90" s="14"/>
      <c r="G90" s="14"/>
      <c r="H90" s="14"/>
      <c r="I90" s="2"/>
    </row>
    <row r="91" customFormat="false" ht="13.5" hidden="false" customHeight="true" outlineLevel="0" collapsed="false">
      <c r="A91" s="13"/>
      <c r="B91" s="14" t="s">
        <v>89</v>
      </c>
      <c r="C91" s="14"/>
      <c r="D91" s="14"/>
      <c r="E91" s="14"/>
      <c r="F91" s="14"/>
      <c r="G91" s="14"/>
      <c r="H91" s="14"/>
      <c r="I91" s="2"/>
    </row>
    <row r="92" customFormat="false" ht="13.5" hidden="false" customHeight="true" outlineLevel="0" collapsed="false">
      <c r="A92" s="13"/>
      <c r="B92" s="14" t="s">
        <v>90</v>
      </c>
      <c r="C92" s="14"/>
      <c r="D92" s="14"/>
      <c r="E92" s="14"/>
      <c r="F92" s="14"/>
      <c r="G92" s="14"/>
      <c r="H92" s="14"/>
      <c r="I92" s="2"/>
    </row>
    <row r="93" customFormat="false" ht="13.5" hidden="false" customHeight="true" outlineLevel="0" collapsed="false">
      <c r="A93" s="13"/>
      <c r="B93" s="14" t="s">
        <v>25</v>
      </c>
      <c r="C93" s="14"/>
      <c r="D93" s="14"/>
      <c r="E93" s="14"/>
      <c r="F93" s="14"/>
      <c r="G93" s="14"/>
      <c r="H93" s="14"/>
      <c r="I93" s="2"/>
    </row>
    <row r="94" customFormat="false" ht="13.5" hidden="false" customHeight="true" outlineLevel="0" collapsed="false">
      <c r="A94" s="13"/>
      <c r="B94" s="14"/>
      <c r="C94" s="14"/>
      <c r="D94" s="14"/>
      <c r="E94" s="14"/>
      <c r="F94" s="14"/>
      <c r="G94" s="14"/>
      <c r="H94" s="14"/>
      <c r="I94" s="2"/>
    </row>
    <row r="95" customFormat="false" ht="13.5" hidden="false" customHeight="true" outlineLevel="0" collapsed="false">
      <c r="A95" s="13"/>
      <c r="B95" s="14" t="s">
        <v>26</v>
      </c>
      <c r="C95" s="14"/>
      <c r="D95" s="14"/>
      <c r="E95" s="14"/>
      <c r="F95" s="14"/>
      <c r="G95" s="14"/>
      <c r="H95" s="14"/>
      <c r="I95" s="2"/>
    </row>
    <row r="96" customFormat="false" ht="13.5" hidden="false" customHeight="true" outlineLevel="0" collapsed="false">
      <c r="A96" s="13"/>
      <c r="B96" s="14" t="s">
        <v>91</v>
      </c>
      <c r="C96" s="14"/>
      <c r="D96" s="14"/>
      <c r="E96" s="14"/>
      <c r="F96" s="14"/>
      <c r="G96" s="14"/>
      <c r="H96" s="14"/>
      <c r="I96" s="2"/>
    </row>
    <row r="97" customFormat="false" ht="13.5" hidden="false" customHeight="true" outlineLevel="0" collapsed="false">
      <c r="A97" s="13"/>
      <c r="B97" s="14" t="s">
        <v>92</v>
      </c>
      <c r="C97" s="14"/>
      <c r="D97" s="14"/>
      <c r="E97" s="14"/>
      <c r="F97" s="14"/>
      <c r="G97" s="14"/>
      <c r="H97" s="14"/>
      <c r="I97" s="2"/>
    </row>
    <row r="98" customFormat="false" ht="13.5" hidden="false" customHeight="true" outlineLevel="0" collapsed="false">
      <c r="A98" s="13"/>
      <c r="B98" s="14" t="s">
        <v>93</v>
      </c>
      <c r="C98" s="14"/>
      <c r="D98" s="14"/>
      <c r="E98" s="14"/>
      <c r="F98" s="14"/>
      <c r="G98" s="14"/>
      <c r="H98" s="14"/>
      <c r="I98" s="2"/>
    </row>
    <row r="99" customFormat="false" ht="13.5" hidden="false" customHeight="true" outlineLevel="0" collapsed="false">
      <c r="A99" s="13"/>
      <c r="B99" s="14" t="s">
        <v>30</v>
      </c>
      <c r="C99" s="14"/>
      <c r="D99" s="14"/>
      <c r="E99" s="14"/>
      <c r="F99" s="14"/>
      <c r="G99" s="14"/>
      <c r="H99" s="14"/>
      <c r="I99" s="2"/>
    </row>
    <row r="100" customFormat="false" ht="13.5" hidden="false" customHeight="true" outlineLevel="0" collapsed="false">
      <c r="A100" s="13"/>
      <c r="B100" s="14" t="s">
        <v>94</v>
      </c>
      <c r="C100" s="14"/>
      <c r="D100" s="14"/>
      <c r="E100" s="14"/>
      <c r="F100" s="14"/>
      <c r="G100" s="14"/>
      <c r="H100" s="14"/>
      <c r="I100" s="2"/>
    </row>
    <row r="101" customFormat="false" ht="13.5" hidden="false" customHeight="true" outlineLevel="0" collapsed="false">
      <c r="A101" s="13"/>
      <c r="B101" s="14" t="s">
        <v>95</v>
      </c>
      <c r="C101" s="14"/>
      <c r="D101" s="14"/>
      <c r="E101" s="14"/>
      <c r="F101" s="14"/>
      <c r="G101" s="14"/>
      <c r="H101" s="14"/>
      <c r="I101" s="2"/>
    </row>
    <row r="102" customFormat="false" ht="13.5" hidden="false" customHeight="true" outlineLevel="0" collapsed="false">
      <c r="A102" s="13"/>
      <c r="B102" s="14" t="s">
        <v>96</v>
      </c>
      <c r="C102" s="14"/>
      <c r="D102" s="14"/>
      <c r="E102" s="14"/>
      <c r="F102" s="14"/>
      <c r="G102" s="14"/>
      <c r="H102" s="14"/>
      <c r="I102" s="2"/>
    </row>
    <row r="103" customFormat="false" ht="13.5" hidden="false" customHeight="true" outlineLevel="0" collapsed="false">
      <c r="A103" s="13"/>
      <c r="B103" s="14" t="s">
        <v>97</v>
      </c>
      <c r="C103" s="14"/>
      <c r="D103" s="14"/>
      <c r="E103" s="14"/>
      <c r="F103" s="14"/>
      <c r="G103" s="14"/>
      <c r="H103" s="14"/>
      <c r="I103" s="2"/>
    </row>
    <row r="104" customFormat="false" ht="13.5" hidden="false" customHeight="true" outlineLevel="0" collapsed="false">
      <c r="A104" s="13"/>
      <c r="B104" s="14" t="s">
        <v>98</v>
      </c>
      <c r="C104" s="14"/>
      <c r="D104" s="14"/>
      <c r="E104" s="14"/>
      <c r="F104" s="14"/>
      <c r="G104" s="14"/>
      <c r="H104" s="14"/>
      <c r="I104" s="2"/>
    </row>
    <row r="105" customFormat="false" ht="13.5" hidden="false" customHeight="true" outlineLevel="0" collapsed="false">
      <c r="A105" s="13"/>
      <c r="B105" s="14" t="s">
        <v>32</v>
      </c>
      <c r="C105" s="14"/>
      <c r="D105" s="14"/>
      <c r="E105" s="14"/>
      <c r="F105" s="14"/>
      <c r="G105" s="14"/>
      <c r="H105" s="14"/>
      <c r="I105" s="2"/>
    </row>
    <row r="106" customFormat="false" ht="13.5" hidden="false" customHeight="true" outlineLevel="0" collapsed="false">
      <c r="A106" s="13"/>
      <c r="B106" s="14" t="s">
        <v>99</v>
      </c>
      <c r="C106" s="14"/>
      <c r="D106" s="14"/>
      <c r="E106" s="14"/>
      <c r="F106" s="14"/>
      <c r="G106" s="14"/>
      <c r="H106" s="14"/>
      <c r="I106" s="2"/>
    </row>
    <row r="107" customFormat="false" ht="13.5" hidden="false" customHeight="true" outlineLevel="0" collapsed="false">
      <c r="A107" s="13"/>
      <c r="B107" s="14" t="s">
        <v>100</v>
      </c>
      <c r="C107" s="14"/>
      <c r="D107" s="14"/>
      <c r="E107" s="14"/>
      <c r="F107" s="14"/>
      <c r="G107" s="14"/>
      <c r="H107" s="14"/>
      <c r="I107" s="2"/>
    </row>
    <row r="108" customFormat="false" ht="13.5" hidden="false" customHeight="true" outlineLevel="0" collapsed="false">
      <c r="A108" s="13"/>
      <c r="B108" s="14" t="s">
        <v>35</v>
      </c>
      <c r="C108" s="14"/>
      <c r="D108" s="14"/>
      <c r="E108" s="14"/>
      <c r="F108" s="14"/>
      <c r="G108" s="14"/>
      <c r="H108" s="14"/>
      <c r="I108" s="2"/>
    </row>
    <row r="109" customFormat="false" ht="13.5" hidden="false" customHeight="true" outlineLevel="0" collapsed="false">
      <c r="A109" s="13"/>
      <c r="B109" s="14" t="s">
        <v>101</v>
      </c>
      <c r="C109" s="14"/>
      <c r="D109" s="14"/>
      <c r="E109" s="14"/>
      <c r="F109" s="14"/>
      <c r="G109" s="14"/>
      <c r="H109" s="14"/>
      <c r="I109" s="2"/>
    </row>
    <row r="110" customFormat="false" ht="13.5" hidden="false" customHeight="true" outlineLevel="0" collapsed="false">
      <c r="A110" s="13"/>
      <c r="B110" s="14" t="s">
        <v>37</v>
      </c>
      <c r="C110" s="14"/>
      <c r="D110" s="14"/>
      <c r="E110" s="14"/>
      <c r="F110" s="14"/>
      <c r="G110" s="14"/>
      <c r="H110" s="14"/>
      <c r="I110" s="2"/>
    </row>
    <row r="111" customFormat="false" ht="13.5" hidden="false" customHeight="true" outlineLevel="0" collapsed="false">
      <c r="A111" s="13"/>
      <c r="B111" s="14" t="s">
        <v>102</v>
      </c>
      <c r="C111" s="14"/>
      <c r="D111" s="14"/>
      <c r="E111" s="14"/>
      <c r="F111" s="14"/>
      <c r="G111" s="14"/>
      <c r="H111" s="14"/>
      <c r="I111" s="2"/>
    </row>
    <row r="112" customFormat="false" ht="13.5" hidden="false" customHeight="true" outlineLevel="0" collapsed="false">
      <c r="A112" s="13"/>
      <c r="B112" s="14" t="s">
        <v>39</v>
      </c>
      <c r="C112" s="14"/>
      <c r="D112" s="14"/>
      <c r="E112" s="14"/>
      <c r="F112" s="14"/>
      <c r="G112" s="14"/>
      <c r="H112" s="14"/>
      <c r="I112" s="2"/>
    </row>
    <row r="113" customFormat="false" ht="13.5" hidden="false" customHeight="true" outlineLevel="0" collapsed="false">
      <c r="A113" s="13"/>
      <c r="B113" s="14" t="s">
        <v>40</v>
      </c>
      <c r="C113" s="14"/>
      <c r="D113" s="14"/>
      <c r="E113" s="14"/>
      <c r="F113" s="14"/>
      <c r="G113" s="14"/>
      <c r="H113" s="14"/>
      <c r="I113" s="2"/>
    </row>
    <row r="114" customFormat="false" ht="13.5" hidden="false" customHeight="true" outlineLevel="0" collapsed="false">
      <c r="A114" s="13"/>
      <c r="B114" s="14" t="s">
        <v>103</v>
      </c>
      <c r="C114" s="14"/>
      <c r="D114" s="14"/>
      <c r="E114" s="14"/>
      <c r="F114" s="14"/>
      <c r="G114" s="14"/>
      <c r="H114" s="14"/>
    </row>
    <row r="115" customFormat="false" ht="13.5" hidden="false" customHeight="true" outlineLevel="0" collapsed="false">
      <c r="A115" s="13"/>
      <c r="B115" s="14" t="s">
        <v>104</v>
      </c>
      <c r="C115" s="14"/>
      <c r="D115" s="14"/>
      <c r="E115" s="14"/>
      <c r="F115" s="14"/>
      <c r="G115" s="14"/>
      <c r="H115" s="14"/>
      <c r="I115" s="2"/>
    </row>
    <row r="116" customFormat="false" ht="13.5" hidden="false" customHeight="true" outlineLevel="0" collapsed="false">
      <c r="A116" s="13"/>
      <c r="B116" s="14" t="s">
        <v>105</v>
      </c>
      <c r="C116" s="14"/>
      <c r="D116" s="14"/>
      <c r="E116" s="14"/>
      <c r="F116" s="14"/>
      <c r="G116" s="14"/>
      <c r="H116" s="14"/>
      <c r="I116" s="2"/>
    </row>
    <row r="117" customFormat="false" ht="13.5" hidden="false" customHeight="true" outlineLevel="0" collapsed="false">
      <c r="A117" s="13"/>
      <c r="B117" s="14" t="s">
        <v>106</v>
      </c>
      <c r="C117" s="14"/>
      <c r="D117" s="14"/>
      <c r="E117" s="14"/>
      <c r="F117" s="14"/>
      <c r="G117" s="14"/>
      <c r="H117" s="14"/>
      <c r="I117" s="2"/>
    </row>
    <row r="118" customFormat="false" ht="13.5" hidden="false" customHeight="true" outlineLevel="0" collapsed="false">
      <c r="A118" s="13"/>
      <c r="B118" s="14" t="s">
        <v>107</v>
      </c>
      <c r="C118" s="14"/>
      <c r="D118" s="14"/>
      <c r="E118" s="14"/>
      <c r="F118" s="14"/>
      <c r="G118" s="14"/>
      <c r="H118" s="14"/>
      <c r="I118" s="2"/>
    </row>
    <row r="119" customFormat="false" ht="13.5" hidden="false" customHeight="true" outlineLevel="0" collapsed="false">
      <c r="A119" s="13"/>
      <c r="B119" s="14" t="s">
        <v>108</v>
      </c>
      <c r="C119" s="14"/>
      <c r="D119" s="14"/>
      <c r="E119" s="14"/>
      <c r="F119" s="14"/>
      <c r="G119" s="14"/>
      <c r="H119" s="14"/>
      <c r="I119" s="2"/>
    </row>
    <row r="120" customFormat="false" ht="13.5" hidden="false" customHeight="true" outlineLevel="0" collapsed="false">
      <c r="A120" s="13"/>
      <c r="B120" s="14" t="s">
        <v>47</v>
      </c>
      <c r="C120" s="14"/>
      <c r="D120" s="14"/>
      <c r="E120" s="14"/>
      <c r="F120" s="14"/>
      <c r="G120" s="14"/>
      <c r="H120" s="14"/>
      <c r="I120" s="2"/>
    </row>
    <row r="121" customFormat="false" ht="13.5" hidden="false" customHeight="true" outlineLevel="0" collapsed="false">
      <c r="A121" s="13"/>
      <c r="B121" s="14" t="s">
        <v>48</v>
      </c>
      <c r="C121" s="14"/>
      <c r="D121" s="14"/>
      <c r="E121" s="14"/>
      <c r="F121" s="14"/>
      <c r="G121" s="14"/>
      <c r="H121" s="14"/>
      <c r="I121" s="2"/>
    </row>
    <row r="122" customFormat="false" ht="13.5" hidden="false" customHeight="true" outlineLevel="0" collapsed="false">
      <c r="A122" s="13"/>
      <c r="B122" s="14" t="s">
        <v>109</v>
      </c>
      <c r="C122" s="14"/>
      <c r="D122" s="14"/>
      <c r="E122" s="14"/>
      <c r="F122" s="14"/>
      <c r="G122" s="14"/>
      <c r="H122" s="14"/>
      <c r="I122" s="2"/>
    </row>
    <row r="123" customFormat="false" ht="13.5" hidden="false" customHeight="true" outlineLevel="0" collapsed="false">
      <c r="A123" s="13"/>
      <c r="B123" s="14" t="s">
        <v>110</v>
      </c>
      <c r="C123" s="14"/>
      <c r="D123" s="14"/>
      <c r="E123" s="14"/>
      <c r="F123" s="14"/>
      <c r="G123" s="14"/>
      <c r="H123" s="14"/>
      <c r="I123" s="2"/>
    </row>
    <row r="124" customFormat="false" ht="13.5" hidden="false" customHeight="true" outlineLevel="0" collapsed="false">
      <c r="A124" s="13"/>
      <c r="B124" s="14" t="s">
        <v>111</v>
      </c>
      <c r="C124" s="14"/>
      <c r="D124" s="14"/>
      <c r="E124" s="14"/>
      <c r="F124" s="14"/>
      <c r="G124" s="14"/>
      <c r="H124" s="14"/>
      <c r="I124" s="2"/>
    </row>
    <row r="125" customFormat="false" ht="13.5" hidden="false" customHeight="true" outlineLevel="0" collapsed="false">
      <c r="A125" s="13"/>
      <c r="B125" s="14" t="s">
        <v>112</v>
      </c>
      <c r="C125" s="14"/>
      <c r="D125" s="14"/>
      <c r="E125" s="14"/>
      <c r="F125" s="14"/>
      <c r="G125" s="14"/>
      <c r="H125" s="14"/>
      <c r="I125" s="2"/>
    </row>
    <row r="126" customFormat="false" ht="13.5" hidden="false" customHeight="true" outlineLevel="0" collapsed="false">
      <c r="A126" s="13"/>
      <c r="B126" s="14" t="s">
        <v>113</v>
      </c>
      <c r="C126" s="14"/>
      <c r="D126" s="14"/>
      <c r="E126" s="14"/>
      <c r="F126" s="14"/>
      <c r="G126" s="14"/>
      <c r="H126" s="14"/>
      <c r="I126" s="2"/>
    </row>
    <row r="127" customFormat="false" ht="13.5" hidden="false" customHeight="true" outlineLevel="0" collapsed="false">
      <c r="A127" s="13"/>
      <c r="B127" s="14" t="s">
        <v>114</v>
      </c>
      <c r="C127" s="14"/>
      <c r="D127" s="14"/>
      <c r="E127" s="14"/>
      <c r="F127" s="14"/>
      <c r="G127" s="14"/>
      <c r="H127" s="14"/>
      <c r="I127" s="2"/>
    </row>
    <row r="128" customFormat="false" ht="13.5" hidden="false" customHeight="true" outlineLevel="0" collapsed="false">
      <c r="A128" s="13"/>
      <c r="B128" s="14" t="s">
        <v>115</v>
      </c>
      <c r="C128" s="14"/>
      <c r="D128" s="14"/>
      <c r="E128" s="14"/>
      <c r="F128" s="14"/>
      <c r="G128" s="14"/>
      <c r="H128" s="14"/>
      <c r="I128" s="2"/>
    </row>
    <row r="129" customFormat="false" ht="13.5" hidden="false" customHeight="true" outlineLevel="0" collapsed="false">
      <c r="A129" s="13"/>
      <c r="B129" s="14" t="s">
        <v>116</v>
      </c>
      <c r="C129" s="14"/>
      <c r="D129" s="14"/>
      <c r="E129" s="14"/>
      <c r="F129" s="14"/>
      <c r="G129" s="14"/>
      <c r="H129" s="14"/>
      <c r="I129" s="2"/>
    </row>
    <row r="130" customFormat="false" ht="13.5" hidden="false" customHeight="true" outlineLevel="0" collapsed="false">
      <c r="A130" s="13"/>
      <c r="B130" s="14" t="s">
        <v>117</v>
      </c>
      <c r="C130" s="14"/>
      <c r="D130" s="14"/>
      <c r="E130" s="14"/>
      <c r="F130" s="14"/>
      <c r="G130" s="14"/>
      <c r="H130" s="14"/>
      <c r="I130" s="2"/>
    </row>
    <row r="131" customFormat="false" ht="13.5" hidden="false" customHeight="true" outlineLevel="0" collapsed="false">
      <c r="A131" s="13"/>
      <c r="B131" s="14" t="s">
        <v>118</v>
      </c>
      <c r="C131" s="14"/>
      <c r="D131" s="14"/>
      <c r="E131" s="14"/>
      <c r="F131" s="14"/>
      <c r="G131" s="14"/>
      <c r="H131" s="14"/>
      <c r="I131" s="2"/>
    </row>
    <row r="132" customFormat="false" ht="13.5" hidden="false" customHeight="true" outlineLevel="0" collapsed="false">
      <c r="A132" s="13"/>
      <c r="B132" s="14" t="s">
        <v>119</v>
      </c>
      <c r="C132" s="14"/>
      <c r="D132" s="14"/>
      <c r="E132" s="14"/>
      <c r="F132" s="14"/>
      <c r="G132" s="14"/>
      <c r="H132" s="14"/>
      <c r="I132" s="2"/>
    </row>
    <row r="133" customFormat="false" ht="13.5" hidden="false" customHeight="true" outlineLevel="0" collapsed="false">
      <c r="A133" s="13"/>
      <c r="B133" s="14" t="s">
        <v>120</v>
      </c>
      <c r="C133" s="14"/>
      <c r="D133" s="14"/>
      <c r="E133" s="14"/>
      <c r="F133" s="14"/>
      <c r="G133" s="14"/>
      <c r="H133" s="14"/>
      <c r="I133" s="2"/>
    </row>
    <row r="134" customFormat="false" ht="13.5" hidden="false" customHeight="true" outlineLevel="0" collapsed="false">
      <c r="A134" s="13"/>
      <c r="B134" s="14" t="s">
        <v>121</v>
      </c>
      <c r="C134" s="14"/>
      <c r="D134" s="14"/>
      <c r="E134" s="14"/>
      <c r="F134" s="14"/>
      <c r="G134" s="14"/>
      <c r="H134" s="14"/>
      <c r="I134" s="2"/>
    </row>
    <row r="135" customFormat="false" ht="13.5" hidden="false" customHeight="true" outlineLevel="0" collapsed="false">
      <c r="A135" s="13"/>
      <c r="B135" s="14" t="s">
        <v>122</v>
      </c>
      <c r="C135" s="14"/>
      <c r="D135" s="14"/>
      <c r="E135" s="14"/>
      <c r="F135" s="14"/>
      <c r="G135" s="14"/>
      <c r="H135" s="14"/>
      <c r="I135" s="2"/>
    </row>
    <row r="136" customFormat="false" ht="13.5" hidden="false" customHeight="true" outlineLevel="0" collapsed="false">
      <c r="A136" s="13"/>
      <c r="B136" s="14" t="s">
        <v>123</v>
      </c>
      <c r="C136" s="14"/>
      <c r="D136" s="14"/>
      <c r="E136" s="14"/>
      <c r="F136" s="14"/>
      <c r="G136" s="14"/>
      <c r="H136" s="14"/>
      <c r="I136" s="2"/>
    </row>
    <row r="137" customFormat="false" ht="13.5" hidden="false" customHeight="true" outlineLevel="0" collapsed="false">
      <c r="A137" s="13"/>
      <c r="B137" s="14" t="s">
        <v>124</v>
      </c>
      <c r="C137" s="14"/>
      <c r="D137" s="14"/>
      <c r="E137" s="14"/>
      <c r="F137" s="14"/>
      <c r="G137" s="14"/>
      <c r="H137" s="14"/>
      <c r="I137" s="2"/>
    </row>
    <row r="138" customFormat="false" ht="13.5" hidden="false" customHeight="true" outlineLevel="0" collapsed="false">
      <c r="A138" s="13"/>
      <c r="B138" s="14" t="s">
        <v>125</v>
      </c>
      <c r="C138" s="14"/>
      <c r="D138" s="14"/>
      <c r="E138" s="14"/>
      <c r="F138" s="14"/>
      <c r="G138" s="14"/>
      <c r="H138" s="14"/>
      <c r="I138" s="2"/>
    </row>
    <row r="139" customFormat="false" ht="13.5" hidden="false" customHeight="true" outlineLevel="0" collapsed="false">
      <c r="A139" s="13"/>
      <c r="B139" s="14" t="s">
        <v>126</v>
      </c>
      <c r="C139" s="14"/>
      <c r="D139" s="14"/>
      <c r="E139" s="14"/>
      <c r="F139" s="14"/>
      <c r="G139" s="14"/>
      <c r="H139" s="14"/>
      <c r="I139" s="2"/>
    </row>
    <row r="140" customFormat="false" ht="13.5" hidden="false" customHeight="true" outlineLevel="0" collapsed="false">
      <c r="A140" s="13"/>
      <c r="B140" s="14" t="s">
        <v>127</v>
      </c>
      <c r="C140" s="14"/>
      <c r="D140" s="14"/>
      <c r="E140" s="14"/>
      <c r="F140" s="14"/>
      <c r="G140" s="14"/>
      <c r="H140" s="14"/>
      <c r="I140" s="2"/>
    </row>
    <row r="141" customFormat="false" ht="13.5" hidden="false" customHeight="true" outlineLevel="0" collapsed="false">
      <c r="A141" s="13"/>
      <c r="B141" s="14" t="s">
        <v>128</v>
      </c>
      <c r="C141" s="14"/>
      <c r="D141" s="14"/>
      <c r="E141" s="14"/>
      <c r="F141" s="14"/>
      <c r="G141" s="14"/>
      <c r="H141" s="14"/>
      <c r="I141" s="2"/>
    </row>
    <row r="142" customFormat="false" ht="13.5" hidden="false" customHeight="true" outlineLevel="0" collapsed="false">
      <c r="A142" s="13"/>
      <c r="B142" s="14" t="s">
        <v>129</v>
      </c>
      <c r="C142" s="14"/>
      <c r="D142" s="14"/>
      <c r="E142" s="14"/>
      <c r="F142" s="14"/>
      <c r="G142" s="14"/>
      <c r="H142" s="14"/>
      <c r="I142" s="2"/>
    </row>
    <row r="143" customFormat="false" ht="13.5" hidden="false" customHeight="true" outlineLevel="0" collapsed="false">
      <c r="A143" s="13"/>
      <c r="B143" s="14" t="s">
        <v>130</v>
      </c>
      <c r="C143" s="14"/>
      <c r="D143" s="14"/>
      <c r="E143" s="14"/>
      <c r="F143" s="14"/>
      <c r="G143" s="14"/>
      <c r="H143" s="14"/>
      <c r="I143" s="2"/>
    </row>
    <row r="144" customFormat="false" ht="13.5" hidden="false" customHeight="true" outlineLevel="0" collapsed="false">
      <c r="A144" s="13"/>
      <c r="B144" s="14" t="s">
        <v>82</v>
      </c>
      <c r="C144" s="14"/>
      <c r="D144" s="14"/>
      <c r="E144" s="14"/>
      <c r="F144" s="14"/>
      <c r="G144" s="14"/>
      <c r="H144" s="14"/>
      <c r="I144" s="2"/>
    </row>
    <row r="145" customFormat="false" ht="13.5" hidden="false" customHeight="true" outlineLevel="0" collapsed="false">
      <c r="A145" s="13"/>
      <c r="B145" s="14" t="s">
        <v>131</v>
      </c>
      <c r="C145" s="14"/>
      <c r="D145" s="14"/>
      <c r="E145" s="14"/>
      <c r="F145" s="14"/>
      <c r="G145" s="14"/>
      <c r="H145" s="14"/>
      <c r="I145" s="2"/>
    </row>
    <row r="146" customFormat="false" ht="13.5" hidden="false" customHeight="true" outlineLevel="0" collapsed="false">
      <c r="A146" s="13"/>
      <c r="B146" s="14" t="s">
        <v>84</v>
      </c>
      <c r="C146" s="14"/>
      <c r="D146" s="14"/>
      <c r="E146" s="14"/>
      <c r="F146" s="14"/>
      <c r="G146" s="14"/>
      <c r="H146" s="14"/>
      <c r="I146" s="2"/>
    </row>
    <row r="147" customFormat="false" ht="13.5" hidden="false" customHeight="true" outlineLevel="0" collapsed="false">
      <c r="A147" s="13"/>
      <c r="B147" s="14" t="s">
        <v>85</v>
      </c>
      <c r="C147" s="14"/>
      <c r="D147" s="14"/>
      <c r="E147" s="14"/>
      <c r="F147" s="14"/>
      <c r="G147" s="14"/>
      <c r="H147" s="14"/>
      <c r="I147" s="2"/>
    </row>
    <row r="148" customFormat="false" ht="13.5" hidden="false" customHeight="true" outlineLevel="0" collapsed="false">
      <c r="A148" s="13"/>
      <c r="B148" s="14" t="s">
        <v>132</v>
      </c>
      <c r="C148" s="14"/>
      <c r="D148" s="14"/>
      <c r="E148" s="14"/>
      <c r="F148" s="14"/>
      <c r="G148" s="14"/>
      <c r="H148" s="14"/>
      <c r="I148" s="2"/>
    </row>
    <row r="149" customFormat="false" ht="13.5" hidden="false" customHeight="true" outlineLevel="0" collapsed="false">
      <c r="A149" s="13"/>
      <c r="B149" s="14" t="s">
        <v>87</v>
      </c>
      <c r="C149" s="14"/>
      <c r="D149" s="14"/>
      <c r="E149" s="14"/>
      <c r="F149" s="14"/>
      <c r="G149" s="14"/>
      <c r="H149" s="14"/>
      <c r="I149" s="2"/>
    </row>
    <row r="150" customFormat="false" ht="13.5" hidden="false" customHeight="true" outlineLevel="0" collapsed="false">
      <c r="A150" s="13"/>
      <c r="B150" s="14" t="s">
        <v>133</v>
      </c>
      <c r="C150" s="14"/>
      <c r="D150" s="14"/>
      <c r="E150" s="14"/>
      <c r="F150" s="14"/>
      <c r="G150" s="14"/>
      <c r="H150" s="14"/>
      <c r="I150" s="2"/>
    </row>
    <row r="151" customFormat="false" ht="13.5" hidden="false" customHeight="true" outlineLevel="0" collapsed="false">
      <c r="A151" s="13"/>
      <c r="B151" s="14" t="s">
        <v>85</v>
      </c>
      <c r="C151" s="14"/>
      <c r="D151" s="14"/>
      <c r="E151" s="14"/>
      <c r="F151" s="14"/>
      <c r="G151" s="14"/>
      <c r="H151" s="14"/>
      <c r="I151" s="2"/>
    </row>
    <row r="152" customFormat="false" ht="13.5" hidden="false" customHeight="true" outlineLevel="0" collapsed="false">
      <c r="A152" s="13"/>
      <c r="B152" s="14" t="s">
        <v>89</v>
      </c>
      <c r="C152" s="14"/>
      <c r="D152" s="14"/>
      <c r="E152" s="14"/>
      <c r="F152" s="14"/>
      <c r="G152" s="14"/>
      <c r="H152" s="14"/>
      <c r="I152" s="2"/>
    </row>
    <row r="153" customFormat="false" ht="13.5" hidden="false" customHeight="true" outlineLevel="0" collapsed="false">
      <c r="A153" s="13"/>
      <c r="B153" s="14" t="s">
        <v>134</v>
      </c>
      <c r="C153" s="14"/>
      <c r="D153" s="14"/>
      <c r="E153" s="14"/>
      <c r="F153" s="14"/>
      <c r="G153" s="14"/>
      <c r="H153" s="14"/>
      <c r="I153" s="2"/>
    </row>
    <row r="154" customFormat="false" ht="13.5" hidden="false" customHeight="true" outlineLevel="0" collapsed="false">
      <c r="A154" s="13"/>
      <c r="B154" s="14" t="s">
        <v>25</v>
      </c>
      <c r="C154" s="14"/>
      <c r="D154" s="14"/>
      <c r="E154" s="14"/>
      <c r="F154" s="14"/>
      <c r="G154" s="14"/>
      <c r="H154" s="14"/>
      <c r="I154" s="2"/>
    </row>
    <row r="155" customFormat="false" ht="13.5" hidden="false" customHeight="true" outlineLevel="0" collapsed="false">
      <c r="A155" s="13"/>
      <c r="B155" s="14"/>
      <c r="C155" s="14"/>
      <c r="D155" s="14"/>
      <c r="E155" s="14"/>
      <c r="F155" s="14"/>
      <c r="G155" s="14"/>
      <c r="H155" s="14"/>
      <c r="I155" s="2"/>
    </row>
    <row r="156" customFormat="false" ht="13.5" hidden="false" customHeight="true" outlineLevel="0" collapsed="false">
      <c r="A156" s="13"/>
      <c r="B156" s="14" t="s">
        <v>26</v>
      </c>
      <c r="C156" s="14"/>
      <c r="D156" s="14"/>
      <c r="E156" s="14"/>
      <c r="F156" s="14"/>
      <c r="G156" s="14"/>
      <c r="H156" s="14"/>
      <c r="I156" s="2"/>
    </row>
    <row r="157" customFormat="false" ht="13.5" hidden="false" customHeight="true" outlineLevel="0" collapsed="false">
      <c r="A157" s="13"/>
      <c r="B157" s="14" t="s">
        <v>135</v>
      </c>
      <c r="C157" s="14"/>
      <c r="D157" s="14"/>
      <c r="E157" s="14"/>
      <c r="F157" s="14"/>
      <c r="G157" s="14"/>
      <c r="H157" s="14"/>
      <c r="I157" s="2"/>
    </row>
    <row r="158" customFormat="false" ht="13.5" hidden="false" customHeight="true" outlineLevel="0" collapsed="false">
      <c r="A158" s="13"/>
      <c r="B158" s="14" t="s">
        <v>26</v>
      </c>
      <c r="C158" s="14"/>
      <c r="D158" s="14"/>
      <c r="E158" s="14"/>
      <c r="F158" s="14"/>
      <c r="G158" s="14"/>
      <c r="H158" s="14"/>
      <c r="I158" s="2"/>
    </row>
    <row r="159" customFormat="false" ht="13.5" hidden="false" customHeight="true" outlineLevel="0" collapsed="false">
      <c r="A159" s="13"/>
      <c r="B159" s="14" t="s">
        <v>136</v>
      </c>
      <c r="C159" s="14"/>
      <c r="D159" s="14"/>
      <c r="E159" s="14"/>
      <c r="F159" s="14"/>
      <c r="G159" s="14"/>
      <c r="H159" s="14"/>
      <c r="I159" s="2"/>
    </row>
    <row r="160" customFormat="false" ht="13.5" hidden="false" customHeight="true" outlineLevel="0" collapsed="false">
      <c r="A160" s="13"/>
      <c r="B160" s="14" t="s">
        <v>137</v>
      </c>
      <c r="C160" s="14"/>
      <c r="D160" s="14"/>
      <c r="E160" s="14"/>
      <c r="F160" s="14"/>
      <c r="G160" s="14"/>
      <c r="H160" s="14"/>
      <c r="I160" s="2"/>
    </row>
    <row r="161" customFormat="false" ht="13.5" hidden="false" customHeight="true" outlineLevel="0" collapsed="false">
      <c r="A161" s="13"/>
      <c r="B161" s="14" t="s">
        <v>14</v>
      </c>
      <c r="C161" s="14"/>
      <c r="D161" s="14"/>
      <c r="E161" s="14"/>
      <c r="F161" s="14"/>
      <c r="G161" s="14"/>
      <c r="H161" s="14"/>
      <c r="I161" s="2"/>
    </row>
    <row r="162" customFormat="false" ht="13.5" hidden="false" customHeight="true" outlineLevel="0" collapsed="false">
      <c r="A162" s="13"/>
      <c r="B162" s="14" t="s">
        <v>138</v>
      </c>
      <c r="C162" s="14"/>
      <c r="D162" s="14"/>
      <c r="E162" s="14"/>
      <c r="F162" s="14"/>
      <c r="G162" s="14"/>
      <c r="H162" s="14"/>
      <c r="I162" s="2"/>
    </row>
    <row r="163" customFormat="false" ht="13.5" hidden="false" customHeight="true" outlineLevel="0" collapsed="false">
      <c r="A163" s="13"/>
      <c r="B163" s="14" t="s">
        <v>139</v>
      </c>
      <c r="C163" s="14"/>
      <c r="D163" s="14"/>
      <c r="E163" s="14"/>
      <c r="F163" s="14"/>
      <c r="G163" s="14"/>
      <c r="H163" s="14"/>
      <c r="I163" s="2"/>
    </row>
    <row r="164" customFormat="false" ht="13.5" hidden="false" customHeight="true" outlineLevel="0" collapsed="false">
      <c r="A164" s="13"/>
      <c r="B164" s="14" t="s">
        <v>140</v>
      </c>
      <c r="C164" s="14"/>
      <c r="D164" s="14"/>
      <c r="E164" s="14"/>
      <c r="F164" s="14"/>
      <c r="G164" s="14"/>
      <c r="H164" s="14"/>
      <c r="I164" s="2"/>
    </row>
    <row r="165" customFormat="false" ht="13.5" hidden="false" customHeight="true" outlineLevel="0" collapsed="false">
      <c r="A165" s="13"/>
      <c r="B165" s="14" t="s">
        <v>141</v>
      </c>
      <c r="C165" s="14"/>
      <c r="D165" s="14"/>
      <c r="E165" s="14"/>
      <c r="F165" s="14"/>
      <c r="G165" s="14"/>
      <c r="H165" s="14"/>
      <c r="I165" s="2"/>
    </row>
    <row r="166" customFormat="false" ht="13.5" hidden="false" customHeight="true" outlineLevel="0" collapsed="false">
      <c r="A166" s="13"/>
      <c r="B166" s="14" t="s">
        <v>142</v>
      </c>
      <c r="C166" s="14"/>
      <c r="D166" s="14"/>
      <c r="E166" s="14"/>
      <c r="F166" s="14"/>
      <c r="G166" s="14"/>
      <c r="H166" s="14"/>
      <c r="I166" s="2"/>
    </row>
    <row r="167" customFormat="false" ht="13.5" hidden="false" customHeight="true" outlineLevel="0" collapsed="false">
      <c r="A167" s="13"/>
      <c r="B167" s="14" t="s">
        <v>32</v>
      </c>
      <c r="C167" s="14"/>
      <c r="D167" s="14"/>
      <c r="E167" s="14"/>
      <c r="F167" s="14"/>
      <c r="G167" s="14"/>
      <c r="H167" s="14"/>
      <c r="I167" s="2"/>
    </row>
    <row r="168" customFormat="false" ht="13.5" hidden="false" customHeight="true" outlineLevel="0" collapsed="false">
      <c r="A168" s="13"/>
      <c r="B168" s="14" t="s">
        <v>143</v>
      </c>
      <c r="C168" s="14"/>
      <c r="D168" s="14"/>
      <c r="E168" s="14"/>
      <c r="F168" s="14"/>
      <c r="G168" s="14"/>
      <c r="H168" s="14"/>
      <c r="I168" s="2"/>
    </row>
    <row r="169" customFormat="false" ht="13.5" hidden="false" customHeight="true" outlineLevel="0" collapsed="false">
      <c r="A169" s="13"/>
      <c r="B169" s="14" t="s">
        <v>144</v>
      </c>
      <c r="C169" s="14"/>
      <c r="D169" s="14"/>
      <c r="E169" s="14"/>
      <c r="F169" s="14"/>
      <c r="G169" s="14"/>
      <c r="H169" s="14"/>
      <c r="I169" s="2"/>
    </row>
    <row r="170" customFormat="false" ht="13.5" hidden="false" customHeight="true" outlineLevel="0" collapsed="false">
      <c r="A170" s="13"/>
      <c r="B170" s="14" t="s">
        <v>145</v>
      </c>
      <c r="C170" s="14"/>
      <c r="D170" s="14"/>
      <c r="E170" s="14"/>
      <c r="F170" s="14"/>
      <c r="G170" s="14"/>
      <c r="H170" s="14"/>
      <c r="I170" s="2"/>
    </row>
    <row r="171" customFormat="false" ht="13.5" hidden="false" customHeight="true" outlineLevel="0" collapsed="false">
      <c r="A171" s="13"/>
      <c r="B171" s="14" t="s">
        <v>146</v>
      </c>
      <c r="C171" s="14"/>
      <c r="D171" s="14"/>
      <c r="E171" s="14"/>
      <c r="F171" s="14"/>
      <c r="G171" s="14"/>
      <c r="H171" s="14"/>
      <c r="I171" s="2"/>
    </row>
    <row r="172" customFormat="false" ht="13.5" hidden="false" customHeight="true" outlineLevel="0" collapsed="false">
      <c r="A172" s="13"/>
      <c r="B172" s="14" t="s">
        <v>18</v>
      </c>
      <c r="C172" s="14"/>
      <c r="D172" s="14"/>
      <c r="E172" s="14"/>
      <c r="F172" s="14"/>
      <c r="G172" s="14"/>
      <c r="H172" s="14"/>
      <c r="I172" s="2"/>
    </row>
    <row r="173" customFormat="false" ht="13.5" hidden="false" customHeight="true" outlineLevel="0" collapsed="false">
      <c r="A173" s="13"/>
      <c r="B173" s="14" t="s">
        <v>147</v>
      </c>
      <c r="C173" s="14"/>
      <c r="D173" s="14"/>
      <c r="E173" s="14"/>
      <c r="F173" s="14"/>
      <c r="G173" s="14"/>
      <c r="H173" s="14"/>
      <c r="I173" s="2"/>
    </row>
    <row r="174" customFormat="false" ht="13.5" hidden="false" customHeight="true" outlineLevel="0" collapsed="false">
      <c r="A174" s="13"/>
      <c r="B174" s="14" t="s">
        <v>148</v>
      </c>
      <c r="C174" s="14"/>
      <c r="D174" s="14"/>
      <c r="E174" s="14"/>
      <c r="F174" s="14"/>
      <c r="G174" s="14"/>
      <c r="H174" s="14"/>
      <c r="I174" s="2"/>
    </row>
    <row r="175" customFormat="false" ht="13.5" hidden="false" customHeight="true" outlineLevel="0" collapsed="false">
      <c r="A175" s="13"/>
      <c r="B175" s="14" t="s">
        <v>149</v>
      </c>
      <c r="C175" s="14"/>
      <c r="D175" s="14"/>
      <c r="E175" s="14"/>
      <c r="F175" s="14"/>
      <c r="G175" s="14"/>
      <c r="H175" s="14"/>
      <c r="I175" s="2"/>
    </row>
    <row r="176" customFormat="false" ht="13.5" hidden="false" customHeight="true" outlineLevel="0" collapsed="false">
      <c r="A176" s="13"/>
      <c r="B176" s="14" t="s">
        <v>150</v>
      </c>
      <c r="C176" s="14"/>
      <c r="D176" s="14"/>
      <c r="E176" s="14"/>
      <c r="F176" s="14"/>
      <c r="G176" s="14"/>
      <c r="H176" s="14"/>
      <c r="I176" s="2"/>
    </row>
    <row r="177" customFormat="false" ht="13.5" hidden="false" customHeight="true" outlineLevel="0" collapsed="false">
      <c r="A177" s="13"/>
      <c r="B177" s="14" t="s">
        <v>151</v>
      </c>
      <c r="C177" s="14"/>
      <c r="D177" s="14"/>
      <c r="E177" s="14"/>
      <c r="F177" s="14"/>
      <c r="G177" s="14"/>
      <c r="H177" s="14"/>
      <c r="I177" s="2"/>
    </row>
    <row r="178" customFormat="false" ht="13.5" hidden="false" customHeight="true" outlineLevel="0" collapsed="false">
      <c r="A178" s="13"/>
      <c r="B178" s="14" t="s">
        <v>152</v>
      </c>
      <c r="C178" s="14"/>
      <c r="D178" s="14"/>
      <c r="E178" s="14"/>
      <c r="F178" s="14"/>
      <c r="G178" s="14"/>
      <c r="H178" s="14"/>
      <c r="I178" s="2"/>
    </row>
    <row r="179" customFormat="false" ht="13.5" hidden="false" customHeight="true" outlineLevel="0" collapsed="false">
      <c r="A179" s="13"/>
      <c r="B179" s="14" t="s">
        <v>153</v>
      </c>
      <c r="C179" s="14"/>
      <c r="D179" s="14"/>
      <c r="E179" s="14"/>
      <c r="F179" s="14"/>
      <c r="G179" s="14"/>
      <c r="H179" s="14"/>
      <c r="I179" s="2"/>
    </row>
    <row r="180" customFormat="false" ht="13.5" hidden="false" customHeight="true" outlineLevel="0" collapsed="false">
      <c r="A180" s="13"/>
      <c r="B180" s="14" t="s">
        <v>154</v>
      </c>
      <c r="C180" s="14"/>
      <c r="D180" s="14"/>
      <c r="E180" s="14"/>
      <c r="F180" s="14"/>
      <c r="G180" s="14"/>
      <c r="H180" s="14"/>
      <c r="I180" s="2"/>
    </row>
    <row r="181" customFormat="false" ht="13.5" hidden="false" customHeight="true" outlineLevel="0" collapsed="false">
      <c r="A181" s="13"/>
      <c r="B181" s="14" t="s">
        <v>155</v>
      </c>
      <c r="C181" s="14"/>
      <c r="D181" s="14"/>
      <c r="E181" s="14"/>
      <c r="F181" s="14"/>
      <c r="G181" s="14"/>
      <c r="H181" s="14"/>
      <c r="I181" s="2"/>
    </row>
    <row r="182" customFormat="false" ht="13.5" hidden="false" customHeight="true" outlineLevel="0" collapsed="false">
      <c r="A182" s="13"/>
      <c r="B182" s="14" t="s">
        <v>156</v>
      </c>
      <c r="C182" s="14"/>
      <c r="D182" s="14"/>
      <c r="E182" s="14"/>
      <c r="F182" s="14"/>
      <c r="G182" s="14"/>
      <c r="H182" s="14"/>
      <c r="I182" s="2"/>
    </row>
    <row r="183" customFormat="false" ht="13.5" hidden="false" customHeight="true" outlineLevel="0" collapsed="false">
      <c r="A183" s="13"/>
      <c r="B183" s="14" t="s">
        <v>157</v>
      </c>
      <c r="C183" s="14"/>
      <c r="D183" s="14"/>
      <c r="E183" s="14"/>
      <c r="F183" s="14"/>
      <c r="G183" s="14"/>
      <c r="H183" s="14"/>
      <c r="I183" s="2"/>
    </row>
    <row r="184" customFormat="false" ht="13.5" hidden="false" customHeight="true" outlineLevel="0" collapsed="false">
      <c r="A184" s="13"/>
      <c r="B184" s="14" t="s">
        <v>158</v>
      </c>
      <c r="C184" s="14"/>
      <c r="D184" s="14"/>
      <c r="E184" s="14"/>
      <c r="F184" s="14"/>
      <c r="G184" s="14"/>
      <c r="H184" s="14"/>
      <c r="I184" s="2"/>
    </row>
    <row r="185" customFormat="false" ht="13.5" hidden="false" customHeight="true" outlineLevel="0" collapsed="false">
      <c r="A185" s="13"/>
      <c r="B185" s="14" t="s">
        <v>159</v>
      </c>
      <c r="C185" s="14"/>
      <c r="D185" s="14"/>
      <c r="E185" s="14"/>
      <c r="F185" s="14"/>
      <c r="G185" s="14"/>
      <c r="H185" s="14"/>
      <c r="I185" s="2"/>
    </row>
    <row r="186" customFormat="false" ht="13.5" hidden="false" customHeight="true" outlineLevel="0" collapsed="false">
      <c r="A186" s="13"/>
      <c r="B186" s="14" t="s">
        <v>160</v>
      </c>
      <c r="C186" s="14"/>
      <c r="D186" s="14"/>
      <c r="E186" s="14"/>
      <c r="F186" s="14"/>
      <c r="G186" s="14"/>
      <c r="H186" s="14"/>
      <c r="I186" s="2"/>
    </row>
    <row r="187" customFormat="false" ht="13.5" hidden="false" customHeight="true" outlineLevel="0" collapsed="false">
      <c r="A187" s="13"/>
      <c r="B187" s="14" t="s">
        <v>161</v>
      </c>
      <c r="C187" s="14"/>
      <c r="D187" s="14"/>
      <c r="E187" s="14"/>
      <c r="F187" s="14"/>
      <c r="G187" s="14"/>
      <c r="H187" s="14"/>
      <c r="I187" s="2"/>
    </row>
    <row r="188" customFormat="false" ht="13.5" hidden="false" customHeight="true" outlineLevel="0" collapsed="false">
      <c r="A188" s="13"/>
      <c r="B188" s="14" t="s">
        <v>162</v>
      </c>
      <c r="C188" s="14"/>
      <c r="D188" s="14"/>
      <c r="E188" s="14"/>
      <c r="F188" s="14"/>
      <c r="G188" s="14"/>
      <c r="H188" s="14"/>
      <c r="I188" s="2"/>
    </row>
    <row r="189" customFormat="false" ht="13.5" hidden="false" customHeight="true" outlineLevel="0" collapsed="false">
      <c r="A189" s="13"/>
      <c r="B189" s="14" t="s">
        <v>163</v>
      </c>
      <c r="C189" s="14"/>
      <c r="D189" s="14"/>
      <c r="E189" s="14"/>
      <c r="F189" s="14"/>
      <c r="G189" s="14"/>
      <c r="H189" s="14"/>
      <c r="I189" s="2"/>
    </row>
    <row r="190" customFormat="false" ht="13.5" hidden="false" customHeight="true" outlineLevel="0" collapsed="false">
      <c r="A190" s="13"/>
      <c r="B190" s="14" t="s">
        <v>164</v>
      </c>
      <c r="C190" s="14"/>
      <c r="D190" s="14"/>
      <c r="E190" s="14"/>
      <c r="F190" s="14"/>
      <c r="G190" s="14"/>
      <c r="H190" s="14"/>
      <c r="I190" s="2"/>
    </row>
    <row r="191" customFormat="false" ht="13.5" hidden="false" customHeight="true" outlineLevel="0" collapsed="false">
      <c r="A191" s="13"/>
      <c r="B191" s="14" t="s">
        <v>165</v>
      </c>
      <c r="C191" s="14"/>
      <c r="D191" s="14"/>
      <c r="E191" s="14"/>
      <c r="F191" s="14"/>
      <c r="G191" s="14"/>
      <c r="H191" s="14"/>
      <c r="I191" s="2"/>
    </row>
    <row r="192" customFormat="false" ht="13.5" hidden="false" customHeight="true" outlineLevel="0" collapsed="false">
      <c r="A192" s="13"/>
      <c r="B192" s="14" t="s">
        <v>166</v>
      </c>
      <c r="C192" s="14"/>
      <c r="D192" s="14"/>
      <c r="E192" s="14"/>
      <c r="F192" s="14"/>
      <c r="G192" s="14"/>
      <c r="H192" s="14"/>
      <c r="I192" s="2"/>
    </row>
    <row r="193" customFormat="false" ht="13.5" hidden="false" customHeight="true" outlineLevel="0" collapsed="false">
      <c r="A193" s="13"/>
      <c r="B193" s="14" t="s">
        <v>167</v>
      </c>
      <c r="C193" s="14"/>
      <c r="D193" s="14"/>
      <c r="E193" s="14"/>
      <c r="F193" s="14"/>
      <c r="G193" s="14"/>
      <c r="H193" s="14"/>
      <c r="I193" s="2"/>
    </row>
    <row r="194" customFormat="false" ht="13.5" hidden="false" customHeight="true" outlineLevel="0" collapsed="false">
      <c r="A194" s="13"/>
      <c r="B194" s="14" t="s">
        <v>168</v>
      </c>
      <c r="C194" s="14"/>
      <c r="D194" s="14"/>
      <c r="E194" s="14"/>
      <c r="F194" s="14"/>
      <c r="G194" s="14"/>
      <c r="H194" s="14"/>
      <c r="I194" s="2"/>
    </row>
    <row r="195" customFormat="false" ht="13.5" hidden="false" customHeight="true" outlineLevel="0" collapsed="false">
      <c r="A195" s="13"/>
      <c r="B195" s="14" t="s">
        <v>169</v>
      </c>
      <c r="C195" s="14"/>
      <c r="D195" s="14"/>
      <c r="E195" s="14"/>
      <c r="F195" s="14"/>
      <c r="G195" s="14"/>
      <c r="H195" s="14"/>
      <c r="I195" s="2"/>
    </row>
    <row r="196" customFormat="false" ht="13.5" hidden="false" customHeight="true" outlineLevel="0" collapsed="false">
      <c r="A196" s="13"/>
      <c r="B196" s="14" t="s">
        <v>170</v>
      </c>
      <c r="C196" s="14"/>
      <c r="D196" s="14"/>
      <c r="E196" s="14"/>
      <c r="F196" s="14"/>
      <c r="G196" s="14"/>
      <c r="H196" s="14"/>
      <c r="I196" s="2"/>
    </row>
    <row r="197" customFormat="false" ht="13.5" hidden="false" customHeight="true" outlineLevel="0" collapsed="false">
      <c r="A197" s="13"/>
      <c r="B197" s="14" t="s">
        <v>171</v>
      </c>
      <c r="C197" s="14"/>
      <c r="D197" s="14"/>
      <c r="E197" s="14"/>
      <c r="F197" s="14"/>
      <c r="G197" s="14"/>
      <c r="H197" s="14"/>
      <c r="I197" s="2"/>
    </row>
    <row r="198" customFormat="false" ht="13.5" hidden="false" customHeight="true" outlineLevel="0" collapsed="false">
      <c r="A198" s="13"/>
      <c r="B198" s="14" t="s">
        <v>172</v>
      </c>
      <c r="C198" s="14"/>
      <c r="D198" s="14"/>
      <c r="E198" s="14"/>
      <c r="F198" s="14"/>
      <c r="G198" s="14"/>
      <c r="H198" s="14"/>
      <c r="I198" s="2"/>
    </row>
    <row r="199" customFormat="false" ht="13.5" hidden="false" customHeight="true" outlineLevel="0" collapsed="false">
      <c r="A199" s="13"/>
      <c r="B199" s="14" t="s">
        <v>173</v>
      </c>
      <c r="C199" s="14"/>
      <c r="D199" s="14"/>
      <c r="E199" s="14"/>
      <c r="F199" s="14"/>
      <c r="G199" s="14"/>
      <c r="H199" s="14"/>
      <c r="I199" s="2"/>
    </row>
    <row r="200" customFormat="false" ht="13.5" hidden="false" customHeight="true" outlineLevel="0" collapsed="false">
      <c r="A200" s="13"/>
      <c r="B200" s="14" t="s">
        <v>174</v>
      </c>
      <c r="C200" s="14"/>
      <c r="D200" s="14"/>
      <c r="E200" s="14"/>
      <c r="F200" s="14"/>
      <c r="G200" s="14"/>
      <c r="H200" s="14"/>
      <c r="I200" s="2"/>
    </row>
    <row r="201" customFormat="false" ht="13.5" hidden="false" customHeight="true" outlineLevel="0" collapsed="false">
      <c r="A201" s="13"/>
      <c r="B201" s="14" t="s">
        <v>175</v>
      </c>
      <c r="C201" s="14"/>
      <c r="D201" s="14"/>
      <c r="E201" s="14"/>
      <c r="F201" s="14"/>
      <c r="G201" s="14"/>
      <c r="H201" s="14"/>
      <c r="I201" s="2"/>
    </row>
    <row r="202" customFormat="false" ht="13.5" hidden="false" customHeight="true" outlineLevel="0" collapsed="false">
      <c r="A202" s="13"/>
      <c r="B202" s="14" t="s">
        <v>176</v>
      </c>
      <c r="C202" s="14"/>
      <c r="D202" s="14"/>
      <c r="E202" s="14"/>
      <c r="F202" s="14"/>
      <c r="G202" s="14"/>
      <c r="H202" s="14"/>
      <c r="I202" s="2"/>
    </row>
    <row r="203" customFormat="false" ht="13.5" hidden="false" customHeight="true" outlineLevel="0" collapsed="false">
      <c r="A203" s="13"/>
      <c r="B203" s="14" t="s">
        <v>177</v>
      </c>
      <c r="C203" s="14"/>
      <c r="D203" s="14"/>
      <c r="E203" s="14"/>
      <c r="F203" s="14"/>
      <c r="G203" s="14"/>
      <c r="H203" s="14"/>
      <c r="I203" s="2"/>
    </row>
    <row r="204" customFormat="false" ht="13.5" hidden="false" customHeight="true" outlineLevel="0" collapsed="false">
      <c r="A204" s="13"/>
      <c r="B204" s="14" t="s">
        <v>178</v>
      </c>
      <c r="C204" s="14"/>
      <c r="D204" s="14"/>
      <c r="E204" s="14"/>
      <c r="F204" s="14"/>
      <c r="G204" s="14"/>
      <c r="H204" s="14"/>
      <c r="I204" s="2"/>
    </row>
    <row r="205" customFormat="false" ht="13.5" hidden="false" customHeight="true" outlineLevel="0" collapsed="false">
      <c r="A205" s="13"/>
      <c r="B205" s="14" t="s">
        <v>179</v>
      </c>
      <c r="C205" s="14"/>
      <c r="D205" s="14"/>
      <c r="E205" s="14"/>
      <c r="F205" s="14"/>
      <c r="G205" s="14"/>
      <c r="H205" s="14"/>
      <c r="I205" s="2"/>
    </row>
    <row r="206" customFormat="false" ht="13.5" hidden="false" customHeight="true" outlineLevel="0" collapsed="false">
      <c r="A206" s="13"/>
      <c r="B206" s="14" t="s">
        <v>180</v>
      </c>
      <c r="C206" s="14"/>
      <c r="D206" s="14"/>
      <c r="E206" s="14"/>
      <c r="F206" s="14"/>
      <c r="G206" s="14"/>
      <c r="H206" s="14"/>
      <c r="I206" s="2"/>
    </row>
    <row r="207" customFormat="false" ht="13.5" hidden="false" customHeight="true" outlineLevel="0" collapsed="false">
      <c r="A207" s="13"/>
      <c r="B207" s="14" t="s">
        <v>81</v>
      </c>
      <c r="C207" s="14"/>
      <c r="D207" s="14"/>
      <c r="E207" s="14"/>
      <c r="F207" s="14"/>
      <c r="G207" s="14"/>
      <c r="H207" s="14"/>
      <c r="I207" s="2"/>
    </row>
    <row r="208" customFormat="false" ht="13.5" hidden="false" customHeight="true" outlineLevel="0" collapsed="false">
      <c r="A208" s="13"/>
      <c r="B208" s="14" t="s">
        <v>181</v>
      </c>
      <c r="C208" s="14"/>
      <c r="D208" s="14"/>
      <c r="E208" s="14"/>
      <c r="F208" s="14"/>
      <c r="G208" s="14"/>
      <c r="H208" s="14"/>
      <c r="I208" s="2"/>
    </row>
    <row r="209" customFormat="false" ht="13.5" hidden="false" customHeight="true" outlineLevel="0" collapsed="false">
      <c r="A209" s="13"/>
      <c r="B209" s="14" t="s">
        <v>182</v>
      </c>
      <c r="C209" s="14"/>
      <c r="D209" s="14"/>
      <c r="E209" s="14"/>
      <c r="F209" s="14"/>
      <c r="G209" s="14"/>
      <c r="H209" s="14"/>
      <c r="I209" s="2"/>
    </row>
    <row r="210" customFormat="false" ht="13.5" hidden="false" customHeight="true" outlineLevel="0" collapsed="false">
      <c r="A210" s="13"/>
      <c r="B210" s="14" t="s">
        <v>183</v>
      </c>
      <c r="C210" s="14"/>
      <c r="D210" s="14"/>
      <c r="E210" s="14"/>
      <c r="F210" s="14"/>
      <c r="G210" s="14"/>
      <c r="H210" s="14"/>
      <c r="I210" s="2"/>
    </row>
    <row r="211" customFormat="false" ht="13.5" hidden="false" customHeight="true" outlineLevel="0" collapsed="false">
      <c r="A211" s="13"/>
      <c r="B211" s="14" t="s">
        <v>184</v>
      </c>
      <c r="C211" s="14"/>
      <c r="D211" s="14"/>
      <c r="E211" s="14"/>
      <c r="F211" s="14"/>
      <c r="G211" s="14"/>
      <c r="H211" s="14"/>
      <c r="I211" s="2"/>
    </row>
    <row r="212" customFormat="false" ht="13.5" hidden="false" customHeight="true" outlineLevel="0" collapsed="false">
      <c r="A212" s="13"/>
      <c r="B212" s="14" t="s">
        <v>185</v>
      </c>
      <c r="C212" s="14"/>
      <c r="D212" s="14"/>
      <c r="E212" s="14"/>
      <c r="F212" s="14"/>
      <c r="G212" s="14"/>
      <c r="H212" s="14"/>
      <c r="I212" s="2"/>
    </row>
    <row r="213" customFormat="false" ht="13.5" hidden="false" customHeight="true" outlineLevel="0" collapsed="false">
      <c r="A213" s="13"/>
      <c r="B213" s="14" t="s">
        <v>39</v>
      </c>
      <c r="C213" s="14"/>
      <c r="D213" s="14"/>
      <c r="E213" s="14"/>
      <c r="F213" s="14"/>
      <c r="G213" s="14"/>
      <c r="H213" s="14"/>
      <c r="I213" s="2"/>
    </row>
    <row r="214" customFormat="false" ht="13.5" hidden="false" customHeight="true" outlineLevel="0" collapsed="false">
      <c r="A214" s="13"/>
      <c r="B214" s="14" t="s">
        <v>87</v>
      </c>
      <c r="C214" s="14"/>
      <c r="D214" s="14"/>
      <c r="E214" s="14"/>
      <c r="F214" s="14"/>
      <c r="G214" s="14"/>
      <c r="H214" s="14"/>
      <c r="I214" s="2"/>
    </row>
    <row r="215" customFormat="false" ht="13.5" hidden="false" customHeight="true" outlineLevel="0" collapsed="false">
      <c r="A215" s="13"/>
      <c r="B215" s="14" t="s">
        <v>186</v>
      </c>
      <c r="C215" s="14"/>
      <c r="D215" s="14"/>
      <c r="E215" s="14"/>
      <c r="F215" s="14"/>
      <c r="G215" s="14"/>
      <c r="H215" s="14"/>
      <c r="I215" s="2"/>
    </row>
    <row r="216" customFormat="false" ht="13.5" hidden="false" customHeight="true" outlineLevel="0" collapsed="false">
      <c r="A216" s="13"/>
      <c r="B216" s="14" t="s">
        <v>181</v>
      </c>
      <c r="C216" s="14"/>
      <c r="D216" s="14"/>
      <c r="E216" s="14"/>
      <c r="F216" s="14"/>
      <c r="G216" s="14"/>
      <c r="H216" s="14"/>
      <c r="I216" s="2"/>
    </row>
    <row r="217" customFormat="false" ht="13.5" hidden="false" customHeight="true" outlineLevel="0" collapsed="false">
      <c r="A217" s="13"/>
      <c r="B217" s="14" t="s">
        <v>187</v>
      </c>
      <c r="C217" s="14"/>
      <c r="D217" s="14"/>
      <c r="E217" s="14"/>
      <c r="F217" s="14"/>
      <c r="G217" s="14"/>
      <c r="H217" s="14"/>
      <c r="I217" s="2"/>
    </row>
    <row r="218" customFormat="false" ht="13.5" hidden="false" customHeight="true" outlineLevel="0" collapsed="false">
      <c r="A218" s="13"/>
      <c r="B218" s="14" t="s">
        <v>25</v>
      </c>
      <c r="C218" s="14"/>
      <c r="D218" s="14"/>
      <c r="E218" s="14"/>
      <c r="F218" s="14"/>
      <c r="G218" s="14"/>
      <c r="H218" s="14"/>
      <c r="I218" s="2"/>
    </row>
    <row r="219" customFormat="false" ht="13.5" hidden="false" customHeight="true" outlineLevel="0" collapsed="false">
      <c r="A219" s="13"/>
      <c r="B219" s="14"/>
      <c r="C219" s="14"/>
      <c r="D219" s="14"/>
      <c r="E219" s="14"/>
      <c r="F219" s="14"/>
      <c r="G219" s="14"/>
      <c r="H219" s="14"/>
      <c r="I219" s="2"/>
    </row>
    <row r="220" customFormat="false" ht="13.5" hidden="false" customHeight="true" outlineLevel="0" collapsed="false">
      <c r="A220" s="13"/>
      <c r="B220" s="14" t="s">
        <v>26</v>
      </c>
      <c r="C220" s="14"/>
      <c r="D220" s="14"/>
      <c r="E220" s="14"/>
      <c r="F220" s="14"/>
      <c r="G220" s="14"/>
      <c r="H220" s="14"/>
      <c r="I220" s="2"/>
    </row>
    <row r="221" customFormat="false" ht="13.5" hidden="false" customHeight="true" outlineLevel="0" collapsed="false">
      <c r="A221" s="13"/>
      <c r="B221" s="14" t="s">
        <v>188</v>
      </c>
      <c r="C221" s="14"/>
      <c r="D221" s="14"/>
      <c r="E221" s="14"/>
      <c r="F221" s="14"/>
      <c r="G221" s="14"/>
      <c r="H221" s="14"/>
      <c r="I221" s="2"/>
    </row>
    <row r="222" customFormat="false" ht="13.5" hidden="false" customHeight="true" outlineLevel="0" collapsed="false">
      <c r="A222" s="13"/>
      <c r="B222" s="14" t="s">
        <v>189</v>
      </c>
      <c r="C222" s="14"/>
      <c r="D222" s="14"/>
      <c r="E222" s="14"/>
      <c r="F222" s="14"/>
      <c r="G222" s="14"/>
      <c r="H222" s="14"/>
      <c r="I222" s="2"/>
    </row>
    <row r="223" customFormat="false" ht="13.5" hidden="false" customHeight="true" outlineLevel="0" collapsed="false">
      <c r="A223" s="13"/>
      <c r="B223" s="14" t="s">
        <v>190</v>
      </c>
      <c r="C223" s="14"/>
      <c r="D223" s="14"/>
      <c r="E223" s="14"/>
      <c r="F223" s="14"/>
      <c r="G223" s="14"/>
      <c r="H223" s="14"/>
      <c r="I223" s="2"/>
    </row>
    <row r="224" customFormat="false" ht="13.5" hidden="false" customHeight="true" outlineLevel="0" collapsed="false">
      <c r="A224" s="13"/>
      <c r="B224" s="14" t="s">
        <v>191</v>
      </c>
      <c r="C224" s="14"/>
      <c r="D224" s="14"/>
      <c r="E224" s="14"/>
      <c r="F224" s="14"/>
      <c r="G224" s="14"/>
      <c r="H224" s="14"/>
      <c r="I224" s="2"/>
    </row>
    <row r="225" customFormat="false" ht="13.5" hidden="false" customHeight="true" outlineLevel="0" collapsed="false">
      <c r="A225" s="13"/>
      <c r="B225" s="14" t="s">
        <v>192</v>
      </c>
      <c r="C225" s="14"/>
      <c r="D225" s="14"/>
      <c r="E225" s="14"/>
      <c r="F225" s="14"/>
      <c r="G225" s="14"/>
      <c r="H225" s="14"/>
      <c r="I225" s="2"/>
    </row>
    <row r="226" customFormat="false" ht="13.5" hidden="false" customHeight="true" outlineLevel="0" collapsed="false">
      <c r="A226" s="13"/>
      <c r="B226" s="14" t="s">
        <v>26</v>
      </c>
      <c r="C226" s="14"/>
      <c r="D226" s="14"/>
      <c r="E226" s="14"/>
      <c r="F226" s="14"/>
      <c r="G226" s="14"/>
      <c r="H226" s="14"/>
      <c r="I226" s="2"/>
    </row>
    <row r="227" customFormat="false" ht="13.5" hidden="false" customHeight="true" outlineLevel="0" collapsed="false">
      <c r="A227" s="13"/>
      <c r="B227" s="14" t="s">
        <v>193</v>
      </c>
      <c r="C227" s="14"/>
      <c r="D227" s="14"/>
      <c r="E227" s="14"/>
      <c r="F227" s="14"/>
      <c r="G227" s="14"/>
      <c r="H227" s="14"/>
      <c r="I227" s="2"/>
    </row>
    <row r="228" customFormat="false" ht="13.5" hidden="false" customHeight="true" outlineLevel="0" collapsed="false">
      <c r="A228" s="13"/>
      <c r="B228" s="14" t="s">
        <v>137</v>
      </c>
      <c r="C228" s="14"/>
      <c r="D228" s="14"/>
      <c r="E228" s="14"/>
      <c r="F228" s="14"/>
      <c r="G228" s="14"/>
      <c r="H228" s="14"/>
      <c r="I228" s="2"/>
    </row>
    <row r="229" customFormat="false" ht="13.5" hidden="false" customHeight="true" outlineLevel="0" collapsed="false">
      <c r="A229" s="13"/>
      <c r="B229" s="14" t="s">
        <v>14</v>
      </c>
      <c r="C229" s="14"/>
      <c r="D229" s="14"/>
      <c r="E229" s="14"/>
      <c r="F229" s="14"/>
      <c r="G229" s="14"/>
      <c r="H229" s="14"/>
      <c r="I229" s="2"/>
    </row>
    <row r="230" customFormat="false" ht="13.5" hidden="false" customHeight="true" outlineLevel="0" collapsed="false">
      <c r="A230" s="13"/>
      <c r="B230" s="14" t="s">
        <v>138</v>
      </c>
      <c r="C230" s="14"/>
      <c r="D230" s="14"/>
      <c r="E230" s="14"/>
      <c r="F230" s="14"/>
      <c r="G230" s="14"/>
      <c r="H230" s="14"/>
      <c r="I230" s="2"/>
    </row>
    <row r="231" customFormat="false" ht="13.5" hidden="false" customHeight="true" outlineLevel="0" collapsed="false">
      <c r="A231" s="13"/>
      <c r="B231" s="14" t="s">
        <v>139</v>
      </c>
      <c r="C231" s="14"/>
      <c r="D231" s="14"/>
      <c r="E231" s="14"/>
      <c r="F231" s="14"/>
      <c r="G231" s="14"/>
      <c r="H231" s="14"/>
      <c r="I231" s="2"/>
    </row>
    <row r="232" customFormat="false" ht="13.5" hidden="false" customHeight="true" outlineLevel="0" collapsed="false">
      <c r="A232" s="13"/>
      <c r="B232" s="14" t="s">
        <v>194</v>
      </c>
      <c r="C232" s="14"/>
      <c r="D232" s="14"/>
      <c r="E232" s="14"/>
      <c r="F232" s="14"/>
      <c r="G232" s="14"/>
      <c r="H232" s="14"/>
      <c r="I232" s="2"/>
    </row>
    <row r="233" customFormat="false" ht="13.5" hidden="false" customHeight="true" outlineLevel="0" collapsed="false">
      <c r="A233" s="13"/>
      <c r="B233" s="14" t="s">
        <v>195</v>
      </c>
      <c r="C233" s="14"/>
      <c r="D233" s="14"/>
      <c r="E233" s="14"/>
      <c r="F233" s="14"/>
      <c r="G233" s="14"/>
      <c r="H233" s="14"/>
      <c r="I233" s="2"/>
    </row>
    <row r="234" customFormat="false" ht="13.5" hidden="false" customHeight="true" outlineLevel="0" collapsed="false">
      <c r="A234" s="13"/>
      <c r="B234" s="14" t="s">
        <v>141</v>
      </c>
      <c r="C234" s="14"/>
      <c r="D234" s="14"/>
      <c r="E234" s="14"/>
      <c r="F234" s="14"/>
      <c r="G234" s="14"/>
      <c r="H234" s="14"/>
      <c r="I234" s="2"/>
    </row>
    <row r="235" customFormat="false" ht="13.5" hidden="false" customHeight="true" outlineLevel="0" collapsed="false">
      <c r="A235" s="13"/>
      <c r="B235" s="14" t="s">
        <v>196</v>
      </c>
      <c r="C235" s="14"/>
      <c r="D235" s="14"/>
      <c r="E235" s="14"/>
      <c r="F235" s="14"/>
      <c r="G235" s="14"/>
      <c r="H235" s="14"/>
      <c r="I235" s="2"/>
    </row>
    <row r="236" customFormat="false" ht="13.5" hidden="false" customHeight="true" outlineLevel="0" collapsed="false">
      <c r="A236" s="13"/>
      <c r="B236" s="14" t="s">
        <v>197</v>
      </c>
      <c r="C236" s="14"/>
      <c r="D236" s="14"/>
      <c r="E236" s="14"/>
      <c r="F236" s="14"/>
      <c r="G236" s="14"/>
      <c r="H236" s="14"/>
      <c r="I236" s="2"/>
    </row>
    <row r="237" customFormat="false" ht="13.5" hidden="false" customHeight="true" outlineLevel="0" collapsed="false">
      <c r="A237" s="13"/>
      <c r="B237" s="14" t="s">
        <v>198</v>
      </c>
      <c r="C237" s="14"/>
      <c r="D237" s="14"/>
      <c r="E237" s="14"/>
      <c r="F237" s="14"/>
      <c r="G237" s="14"/>
      <c r="H237" s="14"/>
      <c r="I237" s="2"/>
    </row>
    <row r="238" customFormat="false" ht="13.5" hidden="false" customHeight="true" outlineLevel="0" collapsed="false">
      <c r="A238" s="13"/>
      <c r="B238" s="14" t="s">
        <v>32</v>
      </c>
      <c r="C238" s="14"/>
      <c r="D238" s="14"/>
      <c r="E238" s="14"/>
      <c r="F238" s="14"/>
      <c r="G238" s="14"/>
      <c r="H238" s="14"/>
      <c r="I238" s="2"/>
    </row>
    <row r="239" customFormat="false" ht="13.5" hidden="false" customHeight="true" outlineLevel="0" collapsed="false">
      <c r="A239" s="13"/>
      <c r="B239" s="14" t="s">
        <v>143</v>
      </c>
      <c r="C239" s="14"/>
      <c r="D239" s="14"/>
      <c r="E239" s="14"/>
      <c r="F239" s="14"/>
      <c r="G239" s="14"/>
      <c r="H239" s="14"/>
      <c r="I239" s="2"/>
    </row>
    <row r="240" customFormat="false" ht="13.5" hidden="false" customHeight="true" outlineLevel="0" collapsed="false">
      <c r="A240" s="13"/>
      <c r="B240" s="14" t="s">
        <v>144</v>
      </c>
      <c r="C240" s="14"/>
      <c r="D240" s="14"/>
      <c r="E240" s="14"/>
      <c r="F240" s="14"/>
      <c r="G240" s="14"/>
      <c r="H240" s="14"/>
      <c r="I240" s="2"/>
    </row>
    <row r="241" customFormat="false" ht="13.5" hidden="false" customHeight="true" outlineLevel="0" collapsed="false">
      <c r="A241" s="13"/>
      <c r="B241" s="14" t="s">
        <v>145</v>
      </c>
      <c r="C241" s="14"/>
      <c r="D241" s="14"/>
      <c r="E241" s="14"/>
      <c r="F241" s="14"/>
      <c r="G241" s="14"/>
      <c r="H241" s="14"/>
      <c r="I241" s="2"/>
    </row>
    <row r="242" customFormat="false" ht="13.5" hidden="false" customHeight="true" outlineLevel="0" collapsed="false">
      <c r="A242" s="13"/>
      <c r="B242" s="14" t="s">
        <v>199</v>
      </c>
      <c r="C242" s="14"/>
      <c r="D242" s="14"/>
      <c r="E242" s="14"/>
      <c r="F242" s="14"/>
      <c r="G242" s="14"/>
      <c r="H242" s="14"/>
      <c r="I242" s="2"/>
    </row>
    <row r="243" customFormat="false" ht="13.5" hidden="false" customHeight="true" outlineLevel="0" collapsed="false">
      <c r="A243" s="13"/>
      <c r="B243" s="14" t="s">
        <v>18</v>
      </c>
      <c r="C243" s="14"/>
      <c r="D243" s="14"/>
      <c r="E243" s="14"/>
      <c r="F243" s="14"/>
      <c r="G243" s="14"/>
      <c r="H243" s="14"/>
      <c r="I243" s="2"/>
    </row>
    <row r="244" customFormat="false" ht="13.5" hidden="false" customHeight="true" outlineLevel="0" collapsed="false">
      <c r="A244" s="13"/>
      <c r="B244" s="14" t="s">
        <v>147</v>
      </c>
      <c r="C244" s="14"/>
      <c r="D244" s="14"/>
      <c r="E244" s="14"/>
      <c r="F244" s="14"/>
      <c r="G244" s="14"/>
      <c r="H244" s="14"/>
      <c r="I244" s="2"/>
    </row>
    <row r="245" customFormat="false" ht="13.5" hidden="false" customHeight="true" outlineLevel="0" collapsed="false">
      <c r="A245" s="13"/>
      <c r="B245" s="14" t="s">
        <v>148</v>
      </c>
      <c r="C245" s="14"/>
      <c r="D245" s="14"/>
      <c r="E245" s="14"/>
      <c r="F245" s="14"/>
      <c r="G245" s="14"/>
      <c r="H245" s="14"/>
      <c r="I245" s="2"/>
    </row>
    <row r="246" customFormat="false" ht="13.5" hidden="false" customHeight="true" outlineLevel="0" collapsed="false">
      <c r="A246" s="13"/>
      <c r="B246" s="14" t="s">
        <v>149</v>
      </c>
      <c r="C246" s="14"/>
      <c r="D246" s="14"/>
      <c r="E246" s="14"/>
      <c r="F246" s="14"/>
      <c r="G246" s="14"/>
      <c r="H246" s="14"/>
      <c r="I246" s="2"/>
    </row>
    <row r="247" customFormat="false" ht="13.5" hidden="false" customHeight="true" outlineLevel="0" collapsed="false">
      <c r="A247" s="13"/>
      <c r="B247" s="14" t="s">
        <v>150</v>
      </c>
      <c r="C247" s="14"/>
      <c r="D247" s="14"/>
      <c r="E247" s="14"/>
      <c r="F247" s="14"/>
      <c r="G247" s="14"/>
      <c r="H247" s="14"/>
      <c r="I247" s="2"/>
    </row>
    <row r="248" customFormat="false" ht="13.5" hidden="false" customHeight="true" outlineLevel="0" collapsed="false">
      <c r="A248" s="13"/>
      <c r="B248" s="14" t="s">
        <v>151</v>
      </c>
      <c r="C248" s="14"/>
      <c r="D248" s="14"/>
      <c r="E248" s="14"/>
      <c r="F248" s="14"/>
      <c r="G248" s="14"/>
      <c r="H248" s="14"/>
      <c r="I248" s="2"/>
    </row>
    <row r="249" customFormat="false" ht="13.5" hidden="false" customHeight="true" outlineLevel="0" collapsed="false">
      <c r="A249" s="13"/>
      <c r="B249" s="14" t="s">
        <v>154</v>
      </c>
      <c r="C249" s="14"/>
      <c r="D249" s="14"/>
      <c r="E249" s="14"/>
      <c r="F249" s="14"/>
      <c r="G249" s="14"/>
      <c r="H249" s="14"/>
      <c r="I249" s="2"/>
    </row>
    <row r="250" customFormat="false" ht="13.5" hidden="false" customHeight="true" outlineLevel="0" collapsed="false">
      <c r="A250" s="13"/>
      <c r="B250" s="14" t="s">
        <v>200</v>
      </c>
      <c r="C250" s="14"/>
      <c r="D250" s="14"/>
      <c r="E250" s="14"/>
      <c r="F250" s="14"/>
      <c r="G250" s="14"/>
      <c r="H250" s="14"/>
      <c r="I250" s="2"/>
    </row>
    <row r="251" customFormat="false" ht="13.5" hidden="false" customHeight="true" outlineLevel="0" collapsed="false">
      <c r="A251" s="13"/>
      <c r="B251" s="14" t="s">
        <v>201</v>
      </c>
      <c r="C251" s="14"/>
      <c r="D251" s="14"/>
      <c r="E251" s="14"/>
      <c r="F251" s="14"/>
      <c r="G251" s="14"/>
      <c r="H251" s="14"/>
      <c r="I251" s="2"/>
    </row>
    <row r="252" customFormat="false" ht="13.5" hidden="false" customHeight="true" outlineLevel="0" collapsed="false">
      <c r="A252" s="13"/>
      <c r="B252" s="14" t="s">
        <v>202</v>
      </c>
      <c r="C252" s="14"/>
      <c r="D252" s="14"/>
      <c r="E252" s="14"/>
      <c r="F252" s="14"/>
      <c r="G252" s="14"/>
      <c r="H252" s="14"/>
      <c r="I252" s="2"/>
    </row>
    <row r="253" customFormat="false" ht="13.5" hidden="false" customHeight="true" outlineLevel="0" collapsed="false">
      <c r="A253" s="13"/>
      <c r="B253" s="14" t="s">
        <v>203</v>
      </c>
      <c r="C253" s="14"/>
      <c r="D253" s="14"/>
      <c r="E253" s="14"/>
      <c r="F253" s="14"/>
      <c r="G253" s="14"/>
      <c r="H253" s="14"/>
      <c r="I253" s="2"/>
    </row>
    <row r="254" customFormat="false" ht="13.5" hidden="false" customHeight="true" outlineLevel="0" collapsed="false">
      <c r="A254" s="13"/>
      <c r="B254" s="14" t="s">
        <v>161</v>
      </c>
      <c r="C254" s="14"/>
      <c r="D254" s="14"/>
      <c r="E254" s="14"/>
      <c r="F254" s="14"/>
      <c r="G254" s="14"/>
      <c r="H254" s="14"/>
      <c r="I254" s="2"/>
    </row>
    <row r="255" customFormat="false" ht="13.5" hidden="false" customHeight="true" outlineLevel="0" collapsed="false">
      <c r="A255" s="13"/>
      <c r="B255" s="14" t="s">
        <v>162</v>
      </c>
      <c r="C255" s="14"/>
      <c r="D255" s="14"/>
      <c r="E255" s="14"/>
      <c r="F255" s="14"/>
      <c r="G255" s="14"/>
      <c r="H255" s="14"/>
      <c r="I255" s="2"/>
    </row>
    <row r="256" customFormat="false" ht="13.5" hidden="false" customHeight="true" outlineLevel="0" collapsed="false">
      <c r="A256" s="13"/>
      <c r="B256" s="14" t="s">
        <v>204</v>
      </c>
      <c r="C256" s="14"/>
      <c r="D256" s="14"/>
      <c r="E256" s="14"/>
      <c r="F256" s="14"/>
      <c r="G256" s="14"/>
      <c r="H256" s="14"/>
      <c r="I256" s="2"/>
    </row>
    <row r="257" customFormat="false" ht="13.5" hidden="false" customHeight="true" outlineLevel="0" collapsed="false">
      <c r="A257" s="13"/>
      <c r="B257" s="14" t="s">
        <v>205</v>
      </c>
      <c r="C257" s="14"/>
      <c r="D257" s="14"/>
      <c r="E257" s="14"/>
      <c r="F257" s="14"/>
      <c r="G257" s="14"/>
      <c r="H257" s="14"/>
      <c r="I257" s="2"/>
    </row>
    <row r="258" customFormat="false" ht="13.5" hidden="false" customHeight="true" outlineLevel="0" collapsed="false">
      <c r="A258" s="13"/>
      <c r="B258" s="14" t="s">
        <v>206</v>
      </c>
      <c r="C258" s="14"/>
      <c r="D258" s="14"/>
      <c r="E258" s="14"/>
      <c r="F258" s="14"/>
      <c r="G258" s="14"/>
      <c r="H258" s="14"/>
      <c r="I258" s="2"/>
    </row>
    <row r="259" customFormat="false" ht="13.5" hidden="false" customHeight="true" outlineLevel="0" collapsed="false">
      <c r="A259" s="13"/>
      <c r="B259" s="14" t="s">
        <v>207</v>
      </c>
      <c r="C259" s="14"/>
      <c r="D259" s="14"/>
      <c r="E259" s="14"/>
      <c r="F259" s="14"/>
      <c r="G259" s="14"/>
      <c r="H259" s="14"/>
      <c r="I259" s="2"/>
    </row>
    <row r="260" customFormat="false" ht="13.5" hidden="false" customHeight="true" outlineLevel="0" collapsed="false">
      <c r="A260" s="13"/>
      <c r="B260" s="14" t="s">
        <v>208</v>
      </c>
      <c r="C260" s="14"/>
      <c r="D260" s="14"/>
      <c r="E260" s="14"/>
      <c r="F260" s="14"/>
      <c r="G260" s="14"/>
      <c r="H260" s="14"/>
      <c r="I260" s="2"/>
    </row>
    <row r="261" customFormat="false" ht="13.5" hidden="false" customHeight="true" outlineLevel="0" collapsed="false">
      <c r="A261" s="13"/>
      <c r="B261" s="14" t="s">
        <v>209</v>
      </c>
      <c r="C261" s="14"/>
      <c r="D261" s="14"/>
      <c r="E261" s="14"/>
      <c r="F261" s="14"/>
      <c r="G261" s="14"/>
      <c r="H261" s="14"/>
      <c r="I261" s="2"/>
    </row>
    <row r="262" customFormat="false" ht="13.5" hidden="false" customHeight="true" outlineLevel="0" collapsed="false">
      <c r="A262" s="13"/>
      <c r="B262" s="14" t="s">
        <v>210</v>
      </c>
      <c r="C262" s="14"/>
      <c r="D262" s="14"/>
      <c r="E262" s="14"/>
      <c r="F262" s="14"/>
      <c r="G262" s="14"/>
      <c r="H262" s="14"/>
      <c r="I262" s="2"/>
    </row>
    <row r="263" customFormat="false" ht="13.5" hidden="false" customHeight="true" outlineLevel="0" collapsed="false">
      <c r="A263" s="13"/>
      <c r="B263" s="14" t="s">
        <v>169</v>
      </c>
      <c r="C263" s="14"/>
      <c r="D263" s="14"/>
      <c r="E263" s="14"/>
      <c r="F263" s="14"/>
      <c r="G263" s="14"/>
      <c r="H263" s="14"/>
      <c r="I263" s="2"/>
    </row>
    <row r="264" customFormat="false" ht="13.5" hidden="false" customHeight="true" outlineLevel="0" collapsed="false">
      <c r="A264" s="13"/>
      <c r="B264" s="14" t="s">
        <v>211</v>
      </c>
      <c r="C264" s="14"/>
      <c r="D264" s="14"/>
      <c r="E264" s="14"/>
      <c r="F264" s="14"/>
      <c r="G264" s="14"/>
      <c r="H264" s="14"/>
      <c r="I264" s="2"/>
    </row>
    <row r="265" customFormat="false" ht="13.5" hidden="false" customHeight="true" outlineLevel="0" collapsed="false">
      <c r="A265" s="13"/>
      <c r="B265" s="14" t="s">
        <v>171</v>
      </c>
      <c r="C265" s="14"/>
      <c r="D265" s="14"/>
      <c r="E265" s="14"/>
      <c r="F265" s="14"/>
      <c r="G265" s="14"/>
      <c r="H265" s="14"/>
      <c r="I265" s="2"/>
    </row>
    <row r="266" customFormat="false" ht="13.5" hidden="false" customHeight="true" outlineLevel="0" collapsed="false">
      <c r="A266" s="13"/>
      <c r="B266" s="14" t="s">
        <v>212</v>
      </c>
      <c r="C266" s="14"/>
      <c r="D266" s="14"/>
      <c r="E266" s="14"/>
      <c r="F266" s="14"/>
      <c r="G266" s="14"/>
      <c r="H266" s="14"/>
      <c r="I266" s="2"/>
    </row>
    <row r="267" customFormat="false" ht="13.5" hidden="false" customHeight="true" outlineLevel="0" collapsed="false">
      <c r="A267" s="13"/>
      <c r="B267" s="14" t="s">
        <v>173</v>
      </c>
      <c r="C267" s="14"/>
      <c r="D267" s="14"/>
      <c r="E267" s="14"/>
      <c r="F267" s="14"/>
      <c r="G267" s="14"/>
      <c r="H267" s="14"/>
      <c r="I267" s="2"/>
    </row>
    <row r="268" customFormat="false" ht="13.5" hidden="false" customHeight="true" outlineLevel="0" collapsed="false">
      <c r="A268" s="13"/>
      <c r="B268" s="14" t="s">
        <v>213</v>
      </c>
      <c r="C268" s="14"/>
      <c r="D268" s="14"/>
      <c r="E268" s="14"/>
      <c r="F268" s="14"/>
      <c r="G268" s="14"/>
      <c r="H268" s="14"/>
      <c r="I268" s="2"/>
    </row>
    <row r="269" customFormat="false" ht="13.5" hidden="false" customHeight="true" outlineLevel="0" collapsed="false">
      <c r="A269" s="13"/>
      <c r="B269" s="14" t="s">
        <v>175</v>
      </c>
      <c r="C269" s="14"/>
      <c r="D269" s="14"/>
      <c r="E269" s="14"/>
      <c r="F269" s="14"/>
      <c r="G269" s="14"/>
      <c r="H269" s="14"/>
      <c r="I269" s="2"/>
    </row>
    <row r="270" customFormat="false" ht="13.5" hidden="false" customHeight="true" outlineLevel="0" collapsed="false">
      <c r="A270" s="13"/>
      <c r="B270" s="14" t="s">
        <v>176</v>
      </c>
      <c r="C270" s="14"/>
      <c r="D270" s="14"/>
      <c r="E270" s="14"/>
      <c r="F270" s="14"/>
      <c r="G270" s="14"/>
      <c r="H270" s="14"/>
      <c r="I270" s="2"/>
    </row>
    <row r="271" customFormat="false" ht="13.5" hidden="false" customHeight="true" outlineLevel="0" collapsed="false">
      <c r="A271" s="13"/>
      <c r="B271" s="14" t="s">
        <v>214</v>
      </c>
      <c r="C271" s="14"/>
      <c r="D271" s="14"/>
      <c r="E271" s="14"/>
      <c r="F271" s="14"/>
      <c r="G271" s="14"/>
      <c r="H271" s="14"/>
      <c r="I271" s="2"/>
    </row>
    <row r="272" customFormat="false" ht="13.5" hidden="false" customHeight="true" outlineLevel="0" collapsed="false">
      <c r="A272" s="13"/>
      <c r="B272" s="14" t="s">
        <v>215</v>
      </c>
      <c r="C272" s="14"/>
      <c r="D272" s="14"/>
      <c r="E272" s="14"/>
      <c r="F272" s="14"/>
      <c r="G272" s="14"/>
      <c r="H272" s="14"/>
      <c r="I272" s="2"/>
    </row>
    <row r="273" customFormat="false" ht="13.5" hidden="false" customHeight="true" outlineLevel="0" collapsed="false">
      <c r="A273" s="13"/>
      <c r="B273" s="14" t="s">
        <v>216</v>
      </c>
      <c r="C273" s="14"/>
      <c r="D273" s="14"/>
      <c r="E273" s="14"/>
      <c r="F273" s="14"/>
      <c r="G273" s="14"/>
      <c r="H273" s="14"/>
      <c r="I273" s="2"/>
    </row>
    <row r="274" customFormat="false" ht="13.5" hidden="false" customHeight="true" outlineLevel="0" collapsed="false">
      <c r="A274" s="13"/>
      <c r="B274" s="14" t="s">
        <v>217</v>
      </c>
      <c r="C274" s="14"/>
      <c r="D274" s="14"/>
      <c r="E274" s="14"/>
      <c r="F274" s="14"/>
      <c r="G274" s="14"/>
      <c r="H274" s="14"/>
      <c r="I274" s="2"/>
    </row>
    <row r="275" customFormat="false" ht="13.5" hidden="false" customHeight="true" outlineLevel="0" collapsed="false">
      <c r="A275" s="13"/>
      <c r="B275" s="14" t="s">
        <v>218</v>
      </c>
      <c r="C275" s="14"/>
      <c r="D275" s="14"/>
      <c r="E275" s="14"/>
      <c r="F275" s="14"/>
      <c r="G275" s="14"/>
      <c r="H275" s="14"/>
      <c r="I275" s="2"/>
    </row>
    <row r="276" customFormat="false" ht="13.5" hidden="false" customHeight="true" outlineLevel="0" collapsed="false">
      <c r="A276" s="13"/>
      <c r="B276" s="14" t="s">
        <v>219</v>
      </c>
      <c r="C276" s="14"/>
      <c r="D276" s="14"/>
      <c r="E276" s="14"/>
      <c r="F276" s="14"/>
      <c r="G276" s="14"/>
      <c r="H276" s="14"/>
      <c r="I276" s="2"/>
    </row>
    <row r="277" customFormat="false" ht="13.5" hidden="false" customHeight="true" outlineLevel="0" collapsed="false">
      <c r="A277" s="13"/>
      <c r="B277" s="14" t="s">
        <v>178</v>
      </c>
      <c r="C277" s="14"/>
      <c r="D277" s="14"/>
      <c r="E277" s="14"/>
      <c r="F277" s="14"/>
      <c r="G277" s="14"/>
      <c r="H277" s="14"/>
      <c r="I277" s="2"/>
    </row>
    <row r="278" customFormat="false" ht="13.5" hidden="false" customHeight="true" outlineLevel="0" collapsed="false">
      <c r="A278" s="13"/>
      <c r="B278" s="14" t="s">
        <v>179</v>
      </c>
      <c r="C278" s="14"/>
      <c r="D278" s="14"/>
      <c r="E278" s="14"/>
      <c r="F278" s="14"/>
      <c r="G278" s="14"/>
      <c r="H278" s="14"/>
      <c r="I278" s="2"/>
    </row>
    <row r="279" customFormat="false" ht="13.5" hidden="false" customHeight="true" outlineLevel="0" collapsed="false">
      <c r="A279" s="13"/>
      <c r="B279" s="14" t="s">
        <v>220</v>
      </c>
      <c r="C279" s="14"/>
      <c r="D279" s="14"/>
      <c r="E279" s="14"/>
      <c r="F279" s="14"/>
      <c r="G279" s="14"/>
      <c r="H279" s="14"/>
      <c r="I279" s="2"/>
    </row>
    <row r="280" customFormat="false" ht="13.5" hidden="false" customHeight="true" outlineLevel="0" collapsed="false">
      <c r="A280" s="13"/>
      <c r="B280" s="14" t="s">
        <v>81</v>
      </c>
      <c r="C280" s="14"/>
      <c r="D280" s="14"/>
      <c r="E280" s="14"/>
      <c r="F280" s="14"/>
      <c r="G280" s="14"/>
      <c r="H280" s="14"/>
      <c r="I280" s="2"/>
    </row>
    <row r="281" customFormat="false" ht="13.5" hidden="false" customHeight="true" outlineLevel="0" collapsed="false">
      <c r="A281" s="13"/>
      <c r="B281" s="14" t="s">
        <v>181</v>
      </c>
      <c r="C281" s="14"/>
      <c r="D281" s="14"/>
      <c r="E281" s="14"/>
      <c r="F281" s="14"/>
      <c r="G281" s="14"/>
      <c r="H281" s="14"/>
      <c r="I281" s="2"/>
    </row>
    <row r="282" customFormat="false" ht="13.5" hidden="false" customHeight="true" outlineLevel="0" collapsed="false">
      <c r="A282" s="13"/>
      <c r="B282" s="14" t="s">
        <v>182</v>
      </c>
      <c r="C282" s="14"/>
      <c r="D282" s="14"/>
      <c r="E282" s="14"/>
      <c r="F282" s="14"/>
      <c r="G282" s="14"/>
      <c r="H282" s="14"/>
      <c r="I282" s="2"/>
    </row>
    <row r="283" customFormat="false" ht="13.5" hidden="false" customHeight="true" outlineLevel="0" collapsed="false">
      <c r="A283" s="13"/>
      <c r="B283" s="14" t="s">
        <v>221</v>
      </c>
      <c r="C283" s="14"/>
      <c r="D283" s="14"/>
      <c r="E283" s="14"/>
      <c r="F283" s="14"/>
      <c r="G283" s="14"/>
      <c r="H283" s="14"/>
      <c r="I283" s="2"/>
    </row>
    <row r="284" customFormat="false" ht="13.5" hidden="false" customHeight="true" outlineLevel="0" collapsed="false">
      <c r="A284" s="13"/>
      <c r="B284" s="14" t="s">
        <v>222</v>
      </c>
      <c r="C284" s="14"/>
      <c r="D284" s="14"/>
      <c r="E284" s="14"/>
      <c r="F284" s="14"/>
      <c r="G284" s="14"/>
      <c r="H284" s="14"/>
      <c r="I284" s="2"/>
    </row>
    <row r="285" customFormat="false" ht="13.5" hidden="false" customHeight="true" outlineLevel="0" collapsed="false">
      <c r="A285" s="13"/>
      <c r="B285" s="14" t="s">
        <v>184</v>
      </c>
      <c r="C285" s="14"/>
      <c r="D285" s="14"/>
      <c r="E285" s="14"/>
      <c r="F285" s="14"/>
      <c r="G285" s="14"/>
      <c r="H285" s="14"/>
      <c r="I285" s="2"/>
    </row>
    <row r="286" customFormat="false" ht="13.5" hidden="false" customHeight="true" outlineLevel="0" collapsed="false">
      <c r="A286" s="13"/>
      <c r="B286" s="14" t="s">
        <v>223</v>
      </c>
      <c r="C286" s="14"/>
      <c r="D286" s="14"/>
      <c r="E286" s="14"/>
      <c r="F286" s="14"/>
      <c r="G286" s="14"/>
      <c r="H286" s="14"/>
      <c r="I286" s="2"/>
    </row>
    <row r="287" customFormat="false" ht="13.5" hidden="false" customHeight="true" outlineLevel="0" collapsed="false">
      <c r="A287" s="13"/>
      <c r="B287" s="14" t="s">
        <v>224</v>
      </c>
      <c r="C287" s="14"/>
      <c r="D287" s="14"/>
      <c r="E287" s="14"/>
      <c r="F287" s="14"/>
      <c r="G287" s="14"/>
      <c r="H287" s="14"/>
      <c r="I287" s="2"/>
    </row>
    <row r="288" customFormat="false" ht="13.5" hidden="false" customHeight="true" outlineLevel="0" collapsed="false">
      <c r="A288" s="13"/>
      <c r="B288" s="14" t="s">
        <v>39</v>
      </c>
      <c r="C288" s="14"/>
      <c r="D288" s="14"/>
      <c r="E288" s="14"/>
      <c r="F288" s="14"/>
      <c r="G288" s="14"/>
      <c r="H288" s="14"/>
      <c r="I288" s="2"/>
    </row>
    <row r="289" customFormat="false" ht="13.5" hidden="false" customHeight="true" outlineLevel="0" collapsed="false">
      <c r="A289" s="13"/>
      <c r="B289" s="14" t="s">
        <v>87</v>
      </c>
      <c r="C289" s="14"/>
      <c r="D289" s="14"/>
      <c r="E289" s="14"/>
      <c r="F289" s="14"/>
      <c r="G289" s="14"/>
      <c r="H289" s="14"/>
      <c r="I289" s="2"/>
    </row>
    <row r="290" customFormat="false" ht="13.5" hidden="false" customHeight="true" outlineLevel="0" collapsed="false">
      <c r="A290" s="13"/>
      <c r="B290" s="14" t="s">
        <v>225</v>
      </c>
      <c r="C290" s="14"/>
      <c r="D290" s="14"/>
      <c r="E290" s="14"/>
      <c r="F290" s="14"/>
      <c r="G290" s="14"/>
      <c r="H290" s="14"/>
      <c r="I290" s="2"/>
    </row>
    <row r="291" customFormat="false" ht="13.5" hidden="false" customHeight="true" outlineLevel="0" collapsed="false">
      <c r="A291" s="13"/>
      <c r="B291" s="14" t="s">
        <v>181</v>
      </c>
      <c r="C291" s="14"/>
      <c r="D291" s="14"/>
      <c r="E291" s="14"/>
      <c r="F291" s="14"/>
      <c r="G291" s="14"/>
      <c r="H291" s="14"/>
      <c r="I291" s="2"/>
    </row>
    <row r="292" customFormat="false" ht="13.5" hidden="false" customHeight="true" outlineLevel="0" collapsed="false">
      <c r="A292" s="13"/>
      <c r="B292" s="14" t="s">
        <v>226</v>
      </c>
      <c r="C292" s="14"/>
      <c r="D292" s="14"/>
      <c r="E292" s="14"/>
      <c r="F292" s="14"/>
      <c r="G292" s="14"/>
      <c r="H292" s="14"/>
      <c r="I292" s="2"/>
    </row>
    <row r="293" customFormat="false" ht="13.5" hidden="false" customHeight="true" outlineLevel="0" collapsed="false">
      <c r="A293" s="13"/>
      <c r="B293" s="14" t="s">
        <v>25</v>
      </c>
      <c r="C293" s="14"/>
      <c r="D293" s="14"/>
      <c r="E293" s="14"/>
      <c r="F293" s="14"/>
      <c r="G293" s="14"/>
      <c r="H293" s="14"/>
      <c r="I293" s="2"/>
    </row>
    <row r="294" customFormat="false" ht="13.5" hidden="false" customHeight="true" outlineLevel="0" collapsed="false">
      <c r="A294" s="13"/>
      <c r="B294" s="14"/>
      <c r="C294" s="14"/>
      <c r="D294" s="14"/>
      <c r="E294" s="14"/>
      <c r="F294" s="14"/>
      <c r="G294" s="14"/>
      <c r="H294" s="14"/>
      <c r="I294" s="2"/>
    </row>
    <row r="295" customFormat="false" ht="13.5" hidden="false" customHeight="true" outlineLevel="0" collapsed="false">
      <c r="A295" s="13"/>
      <c r="B295" s="14" t="s">
        <v>26</v>
      </c>
      <c r="C295" s="14"/>
      <c r="D295" s="14"/>
      <c r="E295" s="14"/>
      <c r="F295" s="14"/>
      <c r="G295" s="14"/>
      <c r="H295" s="14"/>
      <c r="I295" s="2"/>
    </row>
    <row r="296" customFormat="false" ht="13.5" hidden="false" customHeight="true" outlineLevel="0" collapsed="false">
      <c r="A296" s="13"/>
      <c r="B296" s="14" t="s">
        <v>227</v>
      </c>
      <c r="C296" s="14"/>
      <c r="D296" s="14"/>
      <c r="E296" s="14"/>
      <c r="F296" s="14"/>
      <c r="G296" s="14"/>
      <c r="H296" s="14"/>
      <c r="I296" s="2"/>
    </row>
    <row r="297" customFormat="false" ht="13.5" hidden="false" customHeight="true" outlineLevel="0" collapsed="false">
      <c r="A297" s="13"/>
      <c r="B297" s="14" t="s">
        <v>228</v>
      </c>
      <c r="C297" s="14"/>
      <c r="D297" s="14"/>
      <c r="E297" s="14"/>
      <c r="F297" s="14"/>
      <c r="G297" s="14"/>
      <c r="H297" s="14"/>
      <c r="I297" s="2"/>
    </row>
    <row r="298" customFormat="false" ht="13.5" hidden="false" customHeight="true" outlineLevel="0" collapsed="false">
      <c r="A298" s="13"/>
      <c r="B298" s="14" t="s">
        <v>26</v>
      </c>
      <c r="C298" s="14"/>
      <c r="D298" s="14"/>
      <c r="E298" s="14"/>
      <c r="F298" s="14"/>
      <c r="G298" s="14"/>
      <c r="H298" s="14"/>
      <c r="I298" s="2"/>
    </row>
    <row r="299" customFormat="false" ht="13.5" hidden="false" customHeight="true" outlineLevel="0" collapsed="false">
      <c r="A299" s="13"/>
      <c r="B299" s="14" t="s">
        <v>26</v>
      </c>
      <c r="C299" s="14"/>
      <c r="D299" s="14"/>
      <c r="E299" s="14"/>
      <c r="F299" s="14"/>
      <c r="G299" s="14"/>
      <c r="H299" s="14"/>
      <c r="I299" s="2"/>
    </row>
    <row r="300" customFormat="false" ht="13.5" hidden="false" customHeight="true" outlineLevel="0" collapsed="false">
      <c r="A300" s="13"/>
      <c r="B300" s="14" t="s">
        <v>229</v>
      </c>
      <c r="C300" s="14"/>
      <c r="D300" s="14"/>
      <c r="E300" s="14"/>
      <c r="F300" s="14"/>
      <c r="G300" s="14"/>
      <c r="H300" s="14"/>
      <c r="I300" s="2"/>
    </row>
    <row r="301" customFormat="false" ht="13.5" hidden="false" customHeight="true" outlineLevel="0" collapsed="false">
      <c r="A301" s="13"/>
      <c r="B301" s="14" t="s">
        <v>26</v>
      </c>
      <c r="C301" s="14"/>
      <c r="D301" s="14"/>
      <c r="E301" s="14"/>
      <c r="F301" s="14"/>
      <c r="G301" s="14"/>
      <c r="H301" s="14"/>
      <c r="I301" s="2"/>
    </row>
    <row r="302" customFormat="false" ht="13.5" hidden="false" customHeight="true" outlineLevel="0" collapsed="false">
      <c r="A302" s="13"/>
      <c r="B302" s="14" t="s">
        <v>230</v>
      </c>
      <c r="C302" s="14"/>
      <c r="D302" s="14"/>
      <c r="E302" s="14"/>
      <c r="F302" s="14"/>
      <c r="G302" s="14"/>
      <c r="H302" s="14"/>
      <c r="I302" s="2"/>
    </row>
    <row r="303" customFormat="false" ht="13.5" hidden="false" customHeight="true" outlineLevel="0" collapsed="false">
      <c r="A303" s="13"/>
      <c r="B303" s="14" t="s">
        <v>231</v>
      </c>
      <c r="C303" s="14"/>
      <c r="D303" s="14"/>
      <c r="E303" s="14"/>
      <c r="F303" s="14"/>
      <c r="G303" s="14"/>
      <c r="H303" s="14"/>
      <c r="I303" s="2"/>
    </row>
    <row r="304" customFormat="false" ht="13.5" hidden="false" customHeight="true" outlineLevel="0" collapsed="false">
      <c r="A304" s="13"/>
      <c r="B304" s="14" t="s">
        <v>232</v>
      </c>
      <c r="C304" s="14"/>
      <c r="D304" s="14"/>
      <c r="E304" s="14"/>
      <c r="F304" s="14"/>
      <c r="G304" s="14"/>
      <c r="H304" s="14"/>
      <c r="I304" s="2"/>
    </row>
    <row r="305" customFormat="false" ht="13.5" hidden="false" customHeight="true" outlineLevel="0" collapsed="false">
      <c r="A305" s="13"/>
      <c r="B305" s="14" t="s">
        <v>233</v>
      </c>
      <c r="C305" s="14"/>
      <c r="D305" s="14"/>
      <c r="E305" s="14"/>
      <c r="F305" s="14"/>
      <c r="G305" s="14"/>
      <c r="H305" s="14"/>
      <c r="I305" s="2"/>
    </row>
    <row r="306" customFormat="false" ht="13.5" hidden="false" customHeight="true" outlineLevel="0" collapsed="false">
      <c r="A306" s="13"/>
      <c r="B306" s="14" t="s">
        <v>234</v>
      </c>
      <c r="C306" s="14"/>
      <c r="D306" s="14"/>
      <c r="E306" s="14"/>
      <c r="F306" s="14"/>
      <c r="G306" s="14"/>
      <c r="H306" s="14"/>
      <c r="I306" s="2"/>
    </row>
    <row r="307" customFormat="false" ht="13.5" hidden="false" customHeight="true" outlineLevel="0" collapsed="false">
      <c r="A307" s="13"/>
      <c r="B307" s="14" t="s">
        <v>235</v>
      </c>
      <c r="C307" s="14"/>
      <c r="D307" s="14"/>
      <c r="E307" s="14"/>
      <c r="F307" s="14"/>
      <c r="G307" s="14"/>
      <c r="H307" s="14"/>
    </row>
    <row r="308" customFormat="false" ht="13.5" hidden="false" customHeight="true" outlineLevel="0" collapsed="false">
      <c r="A308" s="13"/>
      <c r="B308" s="14" t="s">
        <v>236</v>
      </c>
      <c r="C308" s="14"/>
      <c r="D308" s="14"/>
      <c r="E308" s="14"/>
      <c r="F308" s="14"/>
      <c r="G308" s="14"/>
      <c r="H308" s="14"/>
    </row>
    <row r="309" customFormat="false" ht="13.5" hidden="false" customHeight="true" outlineLevel="0" collapsed="false">
      <c r="A309" s="13"/>
      <c r="B309" s="14" t="s">
        <v>237</v>
      </c>
      <c r="C309" s="14"/>
      <c r="D309" s="14"/>
      <c r="E309" s="14"/>
      <c r="F309" s="14"/>
      <c r="G309" s="14"/>
      <c r="H309" s="14"/>
    </row>
    <row r="310" customFormat="false" ht="13.5" hidden="false" customHeight="true" outlineLevel="0" collapsed="false">
      <c r="A310" s="13"/>
      <c r="B310" s="14" t="s">
        <v>238</v>
      </c>
      <c r="C310" s="14"/>
      <c r="D310" s="14"/>
      <c r="E310" s="14"/>
      <c r="F310" s="14"/>
      <c r="G310" s="14"/>
      <c r="H310" s="14"/>
    </row>
    <row r="311" customFormat="false" ht="13.5" hidden="false" customHeight="true" outlineLevel="0" collapsed="false">
      <c r="A311" s="13"/>
      <c r="B311" s="14" t="s">
        <v>239</v>
      </c>
      <c r="C311" s="14"/>
      <c r="D311" s="14"/>
      <c r="E311" s="14"/>
      <c r="F311" s="14"/>
      <c r="G311" s="14"/>
      <c r="H311" s="14"/>
    </row>
    <row r="312" customFormat="false" ht="13.5" hidden="false" customHeight="true" outlineLevel="0" collapsed="false">
      <c r="A312" s="13"/>
      <c r="B312" s="14" t="s">
        <v>240</v>
      </c>
      <c r="C312" s="14"/>
      <c r="D312" s="14"/>
      <c r="E312" s="14"/>
      <c r="F312" s="14"/>
      <c r="G312" s="14"/>
      <c r="H312" s="14"/>
    </row>
    <row r="313" customFormat="false" ht="13.5" hidden="false" customHeight="true" outlineLevel="0" collapsed="false">
      <c r="A313" s="13"/>
      <c r="B313" s="14" t="s">
        <v>241</v>
      </c>
      <c r="C313" s="14"/>
      <c r="D313" s="14"/>
      <c r="E313" s="14"/>
      <c r="F313" s="14"/>
      <c r="G313" s="14"/>
      <c r="H313" s="14"/>
    </row>
    <row r="314" customFormat="false" ht="13.5" hidden="false" customHeight="true" outlineLevel="0" collapsed="false">
      <c r="A314" s="13"/>
      <c r="B314" s="14" t="s">
        <v>242</v>
      </c>
      <c r="C314" s="14"/>
      <c r="D314" s="14"/>
      <c r="E314" s="14"/>
      <c r="F314" s="14"/>
      <c r="G314" s="14"/>
      <c r="H314" s="14"/>
    </row>
    <row r="315" customFormat="false" ht="13.5" hidden="false" customHeight="true" outlineLevel="0" collapsed="false">
      <c r="A315" s="13"/>
      <c r="B315" s="14" t="s">
        <v>243</v>
      </c>
      <c r="C315" s="14"/>
      <c r="D315" s="14"/>
      <c r="E315" s="14"/>
      <c r="F315" s="14"/>
      <c r="G315" s="14"/>
      <c r="H315" s="14"/>
    </row>
    <row r="316" customFormat="false" ht="13.5" hidden="false" customHeight="true" outlineLevel="0" collapsed="false">
      <c r="A316" s="13"/>
      <c r="B316" s="14" t="s">
        <v>244</v>
      </c>
      <c r="C316" s="14"/>
      <c r="D316" s="14"/>
      <c r="E316" s="14"/>
      <c r="F316" s="14"/>
      <c r="G316" s="14"/>
      <c r="H316" s="14"/>
    </row>
    <row r="317" customFormat="false" ht="13.5" hidden="false" customHeight="true" outlineLevel="0" collapsed="false">
      <c r="A317" s="13"/>
      <c r="B317" s="14" t="s">
        <v>245</v>
      </c>
      <c r="C317" s="14"/>
      <c r="D317" s="14"/>
      <c r="E317" s="14"/>
      <c r="F317" s="14"/>
      <c r="G317" s="14"/>
      <c r="H317" s="14"/>
    </row>
    <row r="318" customFormat="false" ht="13.5" hidden="false" customHeight="true" outlineLevel="0" collapsed="false">
      <c r="A318" s="13"/>
      <c r="B318" s="14" t="s">
        <v>246</v>
      </c>
      <c r="C318" s="14"/>
      <c r="D318" s="14"/>
      <c r="E318" s="14"/>
      <c r="F318" s="14"/>
      <c r="G318" s="14"/>
      <c r="H318" s="14"/>
    </row>
    <row r="319" customFormat="false" ht="13.5" hidden="false" customHeight="true" outlineLevel="0" collapsed="false">
      <c r="A319" s="13"/>
      <c r="B319" s="14" t="s">
        <v>247</v>
      </c>
      <c r="C319" s="14"/>
      <c r="D319" s="14"/>
      <c r="E319" s="14"/>
      <c r="F319" s="14"/>
      <c r="G319" s="14"/>
      <c r="H319" s="14"/>
    </row>
    <row r="320" customFormat="false" ht="13.5" hidden="false" customHeight="true" outlineLevel="0" collapsed="false">
      <c r="A320" s="13"/>
      <c r="B320" s="14" t="s">
        <v>248</v>
      </c>
      <c r="C320" s="14"/>
      <c r="D320" s="14"/>
      <c r="E320" s="14"/>
      <c r="F320" s="14"/>
      <c r="G320" s="14"/>
      <c r="H320" s="14"/>
    </row>
    <row r="321" customFormat="false" ht="13.5" hidden="false" customHeight="true" outlineLevel="0" collapsed="false">
      <c r="A321" s="13"/>
      <c r="B321" s="14" t="s">
        <v>249</v>
      </c>
      <c r="C321" s="14"/>
      <c r="D321" s="14"/>
      <c r="E321" s="14"/>
      <c r="F321" s="14"/>
      <c r="G321" s="14"/>
      <c r="H321" s="14"/>
    </row>
    <row r="322" customFormat="false" ht="13.5" hidden="false" customHeight="true" outlineLevel="0" collapsed="false">
      <c r="A322" s="13"/>
      <c r="B322" s="14" t="s">
        <v>250</v>
      </c>
      <c r="C322" s="14"/>
      <c r="D322" s="14"/>
      <c r="E322" s="14"/>
      <c r="F322" s="14"/>
      <c r="G322" s="14"/>
      <c r="H322" s="14"/>
    </row>
    <row r="323" customFormat="false" ht="13.5" hidden="false" customHeight="true" outlineLevel="0" collapsed="false">
      <c r="A323" s="13"/>
      <c r="B323" s="14" t="s">
        <v>251</v>
      </c>
      <c r="C323" s="14"/>
      <c r="D323" s="14"/>
      <c r="E323" s="14"/>
      <c r="F323" s="14"/>
      <c r="G323" s="14"/>
      <c r="H323" s="14"/>
    </row>
    <row r="324" customFormat="false" ht="13.5" hidden="false" customHeight="true" outlineLevel="0" collapsed="false">
      <c r="A324" s="13"/>
      <c r="B324" s="14" t="s">
        <v>252</v>
      </c>
      <c r="C324" s="14"/>
      <c r="D324" s="14"/>
      <c r="E324" s="14"/>
      <c r="F324" s="14"/>
      <c r="G324" s="14"/>
      <c r="H324" s="14"/>
    </row>
    <row r="325" customFormat="false" ht="13.5" hidden="false" customHeight="true" outlineLevel="0" collapsed="false">
      <c r="A325" s="13"/>
      <c r="B325" s="14" t="s">
        <v>253</v>
      </c>
      <c r="C325" s="14"/>
      <c r="D325" s="14"/>
      <c r="E325" s="14"/>
      <c r="F325" s="14"/>
      <c r="G325" s="14"/>
      <c r="H325" s="14"/>
    </row>
    <row r="326" customFormat="false" ht="13.5" hidden="false" customHeight="true" outlineLevel="0" collapsed="false">
      <c r="A326" s="13"/>
      <c r="B326" s="14" t="s">
        <v>81</v>
      </c>
      <c r="C326" s="14"/>
      <c r="D326" s="14"/>
      <c r="E326" s="14"/>
      <c r="F326" s="14"/>
      <c r="G326" s="14"/>
      <c r="H326" s="14"/>
    </row>
    <row r="327" customFormat="false" ht="13.5" hidden="false" customHeight="true" outlineLevel="0" collapsed="false">
      <c r="A327" s="13"/>
      <c r="B327" s="14" t="s">
        <v>254</v>
      </c>
      <c r="C327" s="14"/>
      <c r="D327" s="14"/>
      <c r="E327" s="14"/>
      <c r="F327" s="14"/>
      <c r="G327" s="14"/>
      <c r="H327" s="14"/>
    </row>
    <row r="328" customFormat="false" ht="13.5" hidden="false" customHeight="true" outlineLevel="0" collapsed="false">
      <c r="A328" s="13"/>
      <c r="B328" s="14" t="s">
        <v>255</v>
      </c>
      <c r="C328" s="14"/>
      <c r="D328" s="14"/>
      <c r="E328" s="14"/>
      <c r="F328" s="14"/>
      <c r="G328" s="14"/>
      <c r="H328" s="14"/>
    </row>
    <row r="329" customFormat="false" ht="13.5" hidden="false" customHeight="true" outlineLevel="0" collapsed="false">
      <c r="A329" s="13"/>
      <c r="B329" s="14" t="s">
        <v>256</v>
      </c>
      <c r="C329" s="14"/>
      <c r="D329" s="14"/>
      <c r="E329" s="14"/>
      <c r="F329" s="14"/>
      <c r="G329" s="14"/>
      <c r="H329" s="14"/>
    </row>
    <row r="330" customFormat="false" ht="13.5" hidden="false" customHeight="true" outlineLevel="0" collapsed="false">
      <c r="A330" s="13"/>
      <c r="B330" s="14" t="s">
        <v>257</v>
      </c>
      <c r="C330" s="14"/>
      <c r="D330" s="14"/>
      <c r="E330" s="14"/>
      <c r="F330" s="14"/>
      <c r="G330" s="14"/>
      <c r="H330" s="14"/>
    </row>
    <row r="331" customFormat="false" ht="13.5" hidden="false" customHeight="true" outlineLevel="0" collapsed="false">
      <c r="A331" s="13"/>
      <c r="B331" s="14" t="s">
        <v>251</v>
      </c>
      <c r="C331" s="14"/>
      <c r="D331" s="14"/>
      <c r="E331" s="14"/>
      <c r="F331" s="14"/>
      <c r="G331" s="14"/>
      <c r="H331" s="14"/>
    </row>
    <row r="332" customFormat="false" ht="13.5" hidden="false" customHeight="true" outlineLevel="0" collapsed="false">
      <c r="A332" s="13"/>
      <c r="B332" s="14" t="s">
        <v>258</v>
      </c>
      <c r="C332" s="14"/>
      <c r="D332" s="14"/>
      <c r="E332" s="14"/>
      <c r="F332" s="14"/>
      <c r="G332" s="14"/>
      <c r="H332" s="14"/>
    </row>
    <row r="333" customFormat="false" ht="13.5" hidden="false" customHeight="true" outlineLevel="0" collapsed="false">
      <c r="A333" s="13"/>
      <c r="B333" s="14" t="s">
        <v>259</v>
      </c>
      <c r="C333" s="14"/>
      <c r="D333" s="14"/>
      <c r="E333" s="14"/>
      <c r="F333" s="14"/>
      <c r="G333" s="14"/>
      <c r="H333" s="14"/>
    </row>
    <row r="334" customFormat="false" ht="13.5" hidden="false" customHeight="true" outlineLevel="0" collapsed="false">
      <c r="A334" s="13"/>
      <c r="B334" s="14" t="s">
        <v>260</v>
      </c>
      <c r="C334" s="14"/>
      <c r="D334" s="14"/>
      <c r="E334" s="14"/>
      <c r="F334" s="14"/>
      <c r="G334" s="14"/>
      <c r="H334" s="14"/>
    </row>
    <row r="335" customFormat="false" ht="13.5" hidden="false" customHeight="true" outlineLevel="0" collapsed="false">
      <c r="A335" s="13"/>
      <c r="B335" s="14" t="s">
        <v>261</v>
      </c>
      <c r="C335" s="14"/>
      <c r="D335" s="14"/>
      <c r="E335" s="14"/>
      <c r="F335" s="14"/>
      <c r="G335" s="14"/>
      <c r="H335" s="14"/>
    </row>
    <row r="336" customFormat="false" ht="13.5" hidden="false" customHeight="true" outlineLevel="0" collapsed="false">
      <c r="A336" s="13"/>
      <c r="B336" s="14" t="s">
        <v>262</v>
      </c>
      <c r="C336" s="14"/>
      <c r="D336" s="14"/>
      <c r="E336" s="14"/>
      <c r="F336" s="14"/>
      <c r="G336" s="14"/>
      <c r="H336" s="14"/>
    </row>
    <row r="337" customFormat="false" ht="13.5" hidden="false" customHeight="true" outlineLevel="0" collapsed="false">
      <c r="A337" s="13"/>
      <c r="B337" s="14" t="s">
        <v>263</v>
      </c>
      <c r="C337" s="14"/>
      <c r="D337" s="14"/>
      <c r="E337" s="14"/>
      <c r="F337" s="14"/>
      <c r="G337" s="14"/>
      <c r="H337" s="14"/>
    </row>
    <row r="338" customFormat="false" ht="13.5" hidden="false" customHeight="true" outlineLevel="0" collapsed="false">
      <c r="A338" s="13"/>
      <c r="B338" s="14" t="s">
        <v>264</v>
      </c>
      <c r="C338" s="14"/>
      <c r="D338" s="14"/>
      <c r="E338" s="14"/>
      <c r="F338" s="14"/>
      <c r="G338" s="14"/>
      <c r="H338" s="14"/>
    </row>
    <row r="339" customFormat="false" ht="13.5" hidden="false" customHeight="true" outlineLevel="0" collapsed="false">
      <c r="A339" s="13"/>
      <c r="B339" s="14" t="s">
        <v>265</v>
      </c>
      <c r="C339" s="14"/>
      <c r="D339" s="14"/>
      <c r="E339" s="14"/>
      <c r="F339" s="14"/>
      <c r="G339" s="14"/>
      <c r="H339" s="14"/>
    </row>
    <row r="340" customFormat="false" ht="13.5" hidden="false" customHeight="true" outlineLevel="0" collapsed="false">
      <c r="A340" s="13"/>
      <c r="B340" s="14" t="s">
        <v>81</v>
      </c>
      <c r="C340" s="14"/>
      <c r="D340" s="14"/>
      <c r="E340" s="14"/>
      <c r="F340" s="14"/>
      <c r="G340" s="14"/>
      <c r="H340" s="14"/>
    </row>
    <row r="341" customFormat="false" ht="13.5" hidden="false" customHeight="true" outlineLevel="0" collapsed="false">
      <c r="A341" s="13"/>
      <c r="B341" s="14" t="s">
        <v>266</v>
      </c>
      <c r="C341" s="14"/>
      <c r="D341" s="14"/>
      <c r="E341" s="14"/>
      <c r="F341" s="14"/>
      <c r="G341" s="14"/>
      <c r="H341" s="14"/>
    </row>
    <row r="342" customFormat="false" ht="13.5" hidden="false" customHeight="true" outlineLevel="0" collapsed="false">
      <c r="A342" s="13"/>
      <c r="B342" s="14" t="s">
        <v>267</v>
      </c>
      <c r="C342" s="14"/>
      <c r="D342" s="14"/>
      <c r="E342" s="14"/>
      <c r="F342" s="14"/>
      <c r="G342" s="14"/>
      <c r="H342" s="14"/>
    </row>
    <row r="343" customFormat="false" ht="13.5" hidden="false" customHeight="true" outlineLevel="0" collapsed="false">
      <c r="A343" s="13"/>
      <c r="B343" s="15"/>
      <c r="C343" s="15"/>
      <c r="D343" s="15"/>
      <c r="E343" s="15"/>
      <c r="F343" s="15"/>
      <c r="G343" s="15"/>
      <c r="H343" s="15"/>
    </row>
    <row r="344" customFormat="false" ht="13.5" hidden="false" customHeight="true" outlineLevel="0" collapsed="false">
      <c r="A344" s="13"/>
      <c r="B344" s="15"/>
      <c r="C344" s="15"/>
      <c r="D344" s="15"/>
      <c r="E344" s="15"/>
      <c r="F344" s="15"/>
      <c r="G344" s="15"/>
      <c r="H344" s="15"/>
    </row>
    <row r="345" customFormat="false" ht="13.5" hidden="false" customHeight="true" outlineLevel="0" collapsed="false">
      <c r="A345" s="13"/>
      <c r="B345" s="15"/>
      <c r="C345" s="15"/>
      <c r="D345" s="15"/>
      <c r="E345" s="15"/>
      <c r="F345" s="15"/>
      <c r="G345" s="15"/>
      <c r="H345" s="15"/>
    </row>
    <row r="346" customFormat="false" ht="13.5" hidden="false" customHeight="true" outlineLevel="0" collapsed="false">
      <c r="A346" s="13"/>
      <c r="B346" s="15"/>
      <c r="C346" s="15"/>
      <c r="D346" s="15"/>
      <c r="E346" s="15"/>
      <c r="F346" s="15"/>
      <c r="G346" s="15"/>
      <c r="H346" s="15"/>
    </row>
    <row r="347" customFormat="false" ht="13.5" hidden="false" customHeight="true" outlineLevel="0" collapsed="false">
      <c r="A347" s="13"/>
      <c r="B347" s="15"/>
      <c r="C347" s="15"/>
      <c r="D347" s="15"/>
      <c r="E347" s="15"/>
      <c r="F347" s="15"/>
      <c r="G347" s="15"/>
      <c r="H347" s="15"/>
    </row>
    <row r="348" customFormat="false" ht="13.5" hidden="false" customHeight="true" outlineLevel="0" collapsed="false">
      <c r="A348" s="13"/>
      <c r="B348" s="15"/>
      <c r="C348" s="15"/>
      <c r="D348" s="15"/>
      <c r="E348" s="15"/>
      <c r="F348" s="15"/>
      <c r="G348" s="15"/>
      <c r="H348" s="15"/>
    </row>
    <row r="349" customFormat="false" ht="13.5" hidden="false" customHeight="true" outlineLevel="0" collapsed="false">
      <c r="A349" s="13"/>
      <c r="B349" s="15"/>
      <c r="C349" s="15"/>
      <c r="D349" s="15"/>
      <c r="E349" s="15"/>
      <c r="F349" s="15"/>
      <c r="G349" s="15"/>
      <c r="H349" s="15"/>
    </row>
    <row r="350" customFormat="false" ht="13.5" hidden="false" customHeight="true" outlineLevel="0" collapsed="false">
      <c r="A350" s="13"/>
      <c r="B350" s="15"/>
      <c r="C350" s="15"/>
      <c r="D350" s="15"/>
      <c r="E350" s="15"/>
      <c r="F350" s="15"/>
      <c r="G350" s="15"/>
      <c r="H350" s="15"/>
    </row>
    <row r="351" customFormat="false" ht="13.5" hidden="false" customHeight="true" outlineLevel="0" collapsed="false">
      <c r="A351" s="13"/>
      <c r="B351" s="15"/>
      <c r="C351" s="15"/>
      <c r="D351" s="15"/>
      <c r="E351" s="15"/>
      <c r="F351" s="15"/>
      <c r="G351" s="15"/>
      <c r="H351" s="15"/>
    </row>
    <row r="352" customFormat="false" ht="13.5" hidden="false" customHeight="true" outlineLevel="0" collapsed="false">
      <c r="A352" s="13"/>
      <c r="B352" s="15"/>
      <c r="C352" s="15"/>
      <c r="D352" s="15"/>
      <c r="E352" s="15"/>
      <c r="F352" s="15"/>
      <c r="G352" s="15"/>
      <c r="H352" s="15"/>
    </row>
    <row r="353" customFormat="false" ht="13.5" hidden="false" customHeight="true" outlineLevel="0" collapsed="false">
      <c r="A353" s="13"/>
      <c r="B353" s="15"/>
      <c r="C353" s="15"/>
      <c r="D353" s="15"/>
      <c r="E353" s="15"/>
      <c r="F353" s="15"/>
      <c r="G353" s="15"/>
      <c r="H353" s="15"/>
    </row>
    <row r="354" customFormat="false" ht="13.5" hidden="false" customHeight="true" outlineLevel="0" collapsed="false">
      <c r="A354" s="13"/>
      <c r="B354" s="15"/>
      <c r="C354" s="15"/>
      <c r="D354" s="15"/>
      <c r="E354" s="15"/>
      <c r="F354" s="15"/>
      <c r="G354" s="15"/>
      <c r="H354" s="15"/>
    </row>
    <row r="355" customFormat="false" ht="13.5" hidden="false" customHeight="true" outlineLevel="0" collapsed="false">
      <c r="A355" s="13"/>
      <c r="B355" s="15"/>
      <c r="C355" s="15"/>
      <c r="D355" s="15"/>
      <c r="E355" s="15"/>
      <c r="F355" s="15"/>
      <c r="G355" s="15"/>
      <c r="H355" s="15"/>
    </row>
    <row r="356" customFormat="false" ht="13.5" hidden="false" customHeight="true" outlineLevel="0" collapsed="false">
      <c r="A356" s="13"/>
      <c r="B356" s="15"/>
      <c r="C356" s="15"/>
      <c r="D356" s="15"/>
      <c r="E356" s="15"/>
      <c r="F356" s="15"/>
      <c r="G356" s="15"/>
      <c r="H356" s="15"/>
    </row>
    <row r="357" customFormat="false" ht="13.5" hidden="false" customHeight="true" outlineLevel="0" collapsed="false">
      <c r="A357" s="13"/>
      <c r="B357" s="14"/>
      <c r="C357" s="14"/>
      <c r="D357" s="14"/>
      <c r="E357" s="14"/>
      <c r="F357" s="14"/>
      <c r="G357" s="14"/>
      <c r="H357" s="14"/>
    </row>
    <row r="358" customFormat="false" ht="13.5" hidden="false" customHeight="true" outlineLevel="0" collapsed="false">
      <c r="A358" s="13"/>
      <c r="B358" s="14" t="s">
        <v>26</v>
      </c>
      <c r="C358" s="14"/>
      <c r="D358" s="14"/>
      <c r="E358" s="14"/>
      <c r="F358" s="14"/>
      <c r="G358" s="14"/>
      <c r="H358" s="14"/>
    </row>
    <row r="359" customFormat="false" ht="13.5" hidden="false" customHeight="true" outlineLevel="0" collapsed="false">
      <c r="A359" s="13"/>
      <c r="B359" s="14" t="s">
        <v>268</v>
      </c>
      <c r="C359" s="14"/>
      <c r="D359" s="14"/>
      <c r="E359" s="14"/>
      <c r="F359" s="14"/>
      <c r="G359" s="14"/>
      <c r="H359" s="14"/>
    </row>
    <row r="360" customFormat="false" ht="13.5" hidden="false" customHeight="true" outlineLevel="0" collapsed="false">
      <c r="A360" s="13"/>
      <c r="B360" s="14" t="s">
        <v>269</v>
      </c>
      <c r="C360" s="14"/>
      <c r="D360" s="14"/>
      <c r="E360" s="14"/>
      <c r="F360" s="14"/>
      <c r="G360" s="14"/>
      <c r="H360" s="14"/>
    </row>
    <row r="361" customFormat="false" ht="13.5" hidden="false" customHeight="true" outlineLevel="0" collapsed="false">
      <c r="A361" s="13"/>
      <c r="B361" s="14" t="s">
        <v>270</v>
      </c>
      <c r="C361" s="14"/>
      <c r="D361" s="14"/>
      <c r="E361" s="14"/>
      <c r="F361" s="14"/>
      <c r="G361" s="14"/>
      <c r="H361" s="14"/>
    </row>
    <row r="362" customFormat="false" ht="13.5" hidden="false" customHeight="true" outlineLevel="0" collapsed="false">
      <c r="A362" s="13"/>
      <c r="B362" s="14" t="s">
        <v>271</v>
      </c>
      <c r="C362" s="14"/>
      <c r="D362" s="14"/>
      <c r="E362" s="14"/>
      <c r="F362" s="14"/>
      <c r="G362" s="14"/>
      <c r="H362" s="14"/>
    </row>
    <row r="363" customFormat="false" ht="13.5" hidden="false" customHeight="true" outlineLevel="0" collapsed="false">
      <c r="A363" s="13"/>
      <c r="B363" s="14" t="s">
        <v>272</v>
      </c>
      <c r="C363" s="14"/>
      <c r="D363" s="14"/>
      <c r="E363" s="14"/>
      <c r="F363" s="14"/>
      <c r="G363" s="14"/>
      <c r="H363" s="14"/>
    </row>
    <row r="364" customFormat="false" ht="13.5" hidden="false" customHeight="true" outlineLevel="0" collapsed="false">
      <c r="A364" s="13"/>
      <c r="B364" s="14" t="s">
        <v>273</v>
      </c>
      <c r="C364" s="14"/>
      <c r="D364" s="14"/>
      <c r="E364" s="14"/>
      <c r="F364" s="14"/>
      <c r="G364" s="14"/>
      <c r="H364" s="14"/>
    </row>
    <row r="365" customFormat="false" ht="13.5" hidden="false" customHeight="true" outlineLevel="0" collapsed="false">
      <c r="A365" s="13"/>
      <c r="B365" s="14" t="s">
        <v>274</v>
      </c>
      <c r="C365" s="14"/>
      <c r="D365" s="14"/>
      <c r="E365" s="14"/>
      <c r="F365" s="14"/>
      <c r="G365" s="14"/>
      <c r="H365" s="14"/>
    </row>
    <row r="366" customFormat="false" ht="13.5" hidden="false" customHeight="true" outlineLevel="0" collapsed="false">
      <c r="A366" s="13"/>
      <c r="B366" s="14" t="s">
        <v>275</v>
      </c>
      <c r="C366" s="14"/>
      <c r="D366" s="14"/>
      <c r="E366" s="14"/>
      <c r="F366" s="14"/>
      <c r="G366" s="14"/>
      <c r="H366" s="14"/>
    </row>
    <row r="367" customFormat="false" ht="13.5" hidden="false" customHeight="true" outlineLevel="0" collapsed="false">
      <c r="A367" s="13"/>
      <c r="B367" s="14" t="s">
        <v>276</v>
      </c>
      <c r="C367" s="14"/>
      <c r="D367" s="14"/>
      <c r="E367" s="14"/>
      <c r="F367" s="14"/>
      <c r="G367" s="14"/>
      <c r="H367" s="14"/>
    </row>
    <row r="368" customFormat="false" ht="13.5" hidden="false" customHeight="true" outlineLevel="0" collapsed="false">
      <c r="A368" s="13"/>
      <c r="B368" s="14" t="s">
        <v>39</v>
      </c>
      <c r="C368" s="14"/>
      <c r="D368" s="14"/>
      <c r="E368" s="14"/>
      <c r="F368" s="14"/>
      <c r="G368" s="14"/>
      <c r="H368" s="14"/>
    </row>
    <row r="369" customFormat="false" ht="13.5" hidden="false" customHeight="true" outlineLevel="0" collapsed="false">
      <c r="A369" s="13"/>
      <c r="B369" s="14" t="s">
        <v>277</v>
      </c>
      <c r="C369" s="14"/>
      <c r="D369" s="14"/>
      <c r="E369" s="14"/>
      <c r="F369" s="14"/>
      <c r="G369" s="14"/>
      <c r="H369" s="14"/>
    </row>
    <row r="370" customFormat="false" ht="13.5" hidden="false" customHeight="true" outlineLevel="0" collapsed="false">
      <c r="A370" s="13"/>
      <c r="B370" s="14" t="s">
        <v>278</v>
      </c>
      <c r="C370" s="14"/>
      <c r="D370" s="14"/>
      <c r="E370" s="14"/>
      <c r="F370" s="14"/>
      <c r="G370" s="14"/>
      <c r="H370" s="14"/>
    </row>
    <row r="371" customFormat="false" ht="13.5" hidden="false" customHeight="true" outlineLevel="0" collapsed="false">
      <c r="A371" s="13"/>
      <c r="B371" s="14" t="s">
        <v>279</v>
      </c>
      <c r="C371" s="14"/>
      <c r="D371" s="14"/>
      <c r="E371" s="14"/>
      <c r="F371" s="14"/>
      <c r="G371" s="14"/>
      <c r="H371" s="14"/>
    </row>
    <row r="372" customFormat="false" ht="13.5" hidden="false" customHeight="true" outlineLevel="0" collapsed="false">
      <c r="A372" s="13"/>
      <c r="B372" s="14" t="s">
        <v>280</v>
      </c>
      <c r="C372" s="14"/>
      <c r="D372" s="14"/>
      <c r="E372" s="14"/>
      <c r="F372" s="14"/>
      <c r="G372" s="14"/>
      <c r="H372" s="14"/>
    </row>
    <row r="373" customFormat="false" ht="13.5" hidden="false" customHeight="true" outlineLevel="0" collapsed="false">
      <c r="A373" s="13"/>
      <c r="B373" s="14" t="s">
        <v>281</v>
      </c>
      <c r="C373" s="14"/>
      <c r="D373" s="14"/>
      <c r="E373" s="14"/>
      <c r="F373" s="14"/>
      <c r="G373" s="14"/>
      <c r="H373" s="14"/>
    </row>
    <row r="374" customFormat="false" ht="13.5" hidden="false" customHeight="true" outlineLevel="0" collapsed="false">
      <c r="A374" s="13"/>
      <c r="B374" s="14" t="s">
        <v>282</v>
      </c>
      <c r="C374" s="14"/>
      <c r="D374" s="14"/>
      <c r="E374" s="14"/>
      <c r="F374" s="14"/>
      <c r="G374" s="14"/>
      <c r="H374" s="14"/>
    </row>
    <row r="375" customFormat="false" ht="13.5" hidden="false" customHeight="true" outlineLevel="0" collapsed="false">
      <c r="A375" s="13"/>
      <c r="B375" s="14" t="s">
        <v>283</v>
      </c>
      <c r="C375" s="14"/>
      <c r="D375" s="14"/>
      <c r="E375" s="14"/>
      <c r="F375" s="14"/>
      <c r="G375" s="14"/>
      <c r="H375" s="14"/>
    </row>
    <row r="376" customFormat="false" ht="13.5" hidden="false" customHeight="true" outlineLevel="0" collapsed="false">
      <c r="A376" s="13"/>
      <c r="B376" s="14" t="s">
        <v>284</v>
      </c>
      <c r="C376" s="14"/>
      <c r="D376" s="14"/>
      <c r="E376" s="14"/>
      <c r="F376" s="14"/>
      <c r="G376" s="14"/>
      <c r="H376" s="14"/>
    </row>
    <row r="377" customFormat="false" ht="13.5" hidden="false" customHeight="true" outlineLevel="0" collapsed="false">
      <c r="A377" s="13"/>
      <c r="B377" s="14" t="s">
        <v>285</v>
      </c>
      <c r="C377" s="14"/>
      <c r="D377" s="14"/>
      <c r="E377" s="14"/>
      <c r="F377" s="14"/>
      <c r="G377" s="14"/>
      <c r="H377" s="14"/>
    </row>
    <row r="378" customFormat="false" ht="13.5" hidden="false" customHeight="true" outlineLevel="0" collapsed="false">
      <c r="A378" s="13"/>
      <c r="B378" s="14" t="s">
        <v>286</v>
      </c>
      <c r="C378" s="14"/>
      <c r="D378" s="14"/>
      <c r="E378" s="14"/>
      <c r="F378" s="14"/>
      <c r="G378" s="14"/>
      <c r="H378" s="14"/>
    </row>
    <row r="379" customFormat="false" ht="13.5" hidden="false" customHeight="true" outlineLevel="0" collapsed="false">
      <c r="A379" s="13"/>
      <c r="B379" s="14" t="s">
        <v>287</v>
      </c>
      <c r="C379" s="14"/>
      <c r="D379" s="14"/>
      <c r="E379" s="14"/>
      <c r="F379" s="14"/>
      <c r="G379" s="14"/>
      <c r="H379" s="14"/>
    </row>
    <row r="380" customFormat="false" ht="13.5" hidden="false" customHeight="true" outlineLevel="0" collapsed="false">
      <c r="A380" s="13"/>
      <c r="B380" s="14" t="s">
        <v>39</v>
      </c>
      <c r="C380" s="14"/>
      <c r="D380" s="14"/>
      <c r="E380" s="14"/>
      <c r="F380" s="14"/>
      <c r="G380" s="14"/>
      <c r="H380" s="14"/>
    </row>
    <row r="381" customFormat="false" ht="13.5" hidden="false" customHeight="true" outlineLevel="0" collapsed="false">
      <c r="A381" s="13"/>
      <c r="B381" s="14" t="s">
        <v>288</v>
      </c>
      <c r="C381" s="14"/>
      <c r="D381" s="14"/>
      <c r="E381" s="14"/>
      <c r="F381" s="14"/>
      <c r="G381" s="14"/>
      <c r="H381" s="14"/>
    </row>
    <row r="382" customFormat="false" ht="13.5" hidden="false" customHeight="true" outlineLevel="0" collapsed="false">
      <c r="A382" s="13"/>
      <c r="B382" s="14" t="s">
        <v>289</v>
      </c>
      <c r="C382" s="14"/>
      <c r="D382" s="14"/>
      <c r="E382" s="14"/>
      <c r="F382" s="14"/>
      <c r="G382" s="14"/>
      <c r="H382" s="14"/>
    </row>
    <row r="383" customFormat="false" ht="13.5" hidden="false" customHeight="true" outlineLevel="0" collapsed="false">
      <c r="A383" s="13"/>
      <c r="B383" s="14" t="s">
        <v>290</v>
      </c>
      <c r="C383" s="14"/>
      <c r="D383" s="14"/>
      <c r="E383" s="14"/>
      <c r="F383" s="14"/>
      <c r="G383" s="14"/>
      <c r="H383" s="14"/>
    </row>
    <row r="384" customFormat="false" ht="13.5" hidden="false" customHeight="true" outlineLevel="0" collapsed="false">
      <c r="A384" s="13"/>
      <c r="B384" s="14" t="s">
        <v>291</v>
      </c>
      <c r="C384" s="14"/>
      <c r="D384" s="14"/>
      <c r="E384" s="14"/>
      <c r="F384" s="14"/>
      <c r="G384" s="14"/>
      <c r="H384" s="14"/>
    </row>
    <row r="385" customFormat="false" ht="13.5" hidden="false" customHeight="true" outlineLevel="0" collapsed="false">
      <c r="A385" s="13"/>
      <c r="B385" s="14" t="s">
        <v>292</v>
      </c>
      <c r="C385" s="14"/>
      <c r="D385" s="14"/>
      <c r="E385" s="14"/>
      <c r="F385" s="14"/>
      <c r="G385" s="14"/>
      <c r="H385" s="14"/>
    </row>
    <row r="386" customFormat="false" ht="13.5" hidden="false" customHeight="true" outlineLevel="0" collapsed="false">
      <c r="A386" s="13"/>
      <c r="B386" s="14" t="s">
        <v>267</v>
      </c>
      <c r="C386" s="14"/>
      <c r="D386" s="14"/>
      <c r="E386" s="14"/>
      <c r="F386" s="14"/>
      <c r="G386" s="14"/>
      <c r="H386" s="14"/>
    </row>
    <row r="387" customFormat="false" ht="13.5" hidden="false" customHeight="true" outlineLevel="0" collapsed="false">
      <c r="A387" s="13"/>
      <c r="B387" s="14"/>
      <c r="C387" s="14"/>
      <c r="D387" s="14"/>
      <c r="E387" s="14"/>
      <c r="F387" s="14"/>
      <c r="G387" s="14"/>
      <c r="H387" s="14"/>
    </row>
    <row r="388" customFormat="false" ht="13.5" hidden="false" customHeight="true" outlineLevel="0" collapsed="false">
      <c r="A388" s="13"/>
      <c r="B388" s="14" t="s">
        <v>26</v>
      </c>
      <c r="C388" s="14"/>
      <c r="D388" s="14"/>
      <c r="E388" s="14"/>
      <c r="F388" s="14"/>
      <c r="G388" s="14"/>
      <c r="H388" s="14"/>
    </row>
    <row r="389" customFormat="false" ht="13.5" hidden="false" customHeight="true" outlineLevel="0" collapsed="false">
      <c r="A389" s="13"/>
      <c r="B389" s="14" t="s">
        <v>293</v>
      </c>
      <c r="C389" s="14"/>
      <c r="D389" s="14"/>
      <c r="E389" s="14"/>
      <c r="F389" s="14"/>
      <c r="G389" s="14"/>
      <c r="H389" s="14"/>
    </row>
    <row r="390" customFormat="false" ht="13.5" hidden="false" customHeight="true" outlineLevel="0" collapsed="false">
      <c r="A390" s="13"/>
      <c r="B390" s="14" t="s">
        <v>294</v>
      </c>
      <c r="C390" s="14"/>
      <c r="D390" s="14"/>
      <c r="E390" s="14"/>
      <c r="F390" s="14"/>
      <c r="G390" s="14"/>
      <c r="H390" s="14"/>
    </row>
    <row r="391" customFormat="false" ht="13.5" hidden="false" customHeight="true" outlineLevel="0" collapsed="false">
      <c r="A391" s="13"/>
      <c r="B391" s="14" t="s">
        <v>295</v>
      </c>
      <c r="C391" s="14"/>
      <c r="D391" s="14"/>
      <c r="E391" s="14"/>
      <c r="F391" s="14"/>
      <c r="G391" s="14"/>
      <c r="H391" s="14"/>
    </row>
    <row r="392" customFormat="false" ht="13.5" hidden="false" customHeight="true" outlineLevel="0" collapsed="false">
      <c r="A392" s="13"/>
      <c r="B392" s="14" t="s">
        <v>296</v>
      </c>
      <c r="C392" s="14"/>
      <c r="D392" s="14"/>
      <c r="E392" s="14"/>
      <c r="F392" s="14"/>
      <c r="G392" s="14"/>
      <c r="H392" s="14"/>
    </row>
    <row r="393" customFormat="false" ht="13.5" hidden="false" customHeight="true" outlineLevel="0" collapsed="false">
      <c r="A393" s="13"/>
      <c r="B393" s="14" t="s">
        <v>297</v>
      </c>
      <c r="C393" s="14"/>
      <c r="D393" s="14"/>
      <c r="E393" s="14"/>
      <c r="F393" s="14"/>
      <c r="G393" s="14"/>
      <c r="H393" s="14"/>
    </row>
    <row r="394" customFormat="false" ht="13.5" hidden="false" customHeight="true" outlineLevel="0" collapsed="false">
      <c r="A394" s="13"/>
      <c r="B394" s="14" t="s">
        <v>25</v>
      </c>
      <c r="C394" s="14"/>
      <c r="D394" s="14"/>
      <c r="E394" s="14"/>
      <c r="F394" s="14"/>
      <c r="G394" s="14"/>
      <c r="H394" s="14"/>
    </row>
    <row r="395" customFormat="false" ht="13.5" hidden="false" customHeight="true" outlineLevel="0" collapsed="false">
      <c r="A395" s="13"/>
      <c r="B395" s="14"/>
      <c r="C395" s="14"/>
      <c r="D395" s="14"/>
      <c r="E395" s="14"/>
      <c r="F395" s="14"/>
      <c r="G395" s="14"/>
      <c r="H395" s="14"/>
    </row>
    <row r="396" customFormat="false" ht="13.5" hidden="false" customHeight="true" outlineLevel="0" collapsed="false">
      <c r="A396" s="13"/>
      <c r="B396" s="14" t="s">
        <v>26</v>
      </c>
      <c r="C396" s="14"/>
      <c r="D396" s="14"/>
      <c r="E396" s="14"/>
      <c r="F396" s="14"/>
      <c r="G396" s="14"/>
      <c r="H396" s="14"/>
    </row>
    <row r="397" customFormat="false" ht="13.5" hidden="false" customHeight="true" outlineLevel="0" collapsed="false">
      <c r="A397" s="13"/>
      <c r="B397" s="14" t="s">
        <v>298</v>
      </c>
      <c r="C397" s="14"/>
      <c r="D397" s="14"/>
      <c r="E397" s="14"/>
      <c r="F397" s="14"/>
      <c r="G397" s="14"/>
      <c r="H397" s="14"/>
    </row>
    <row r="398" customFormat="false" ht="13.5" hidden="false" customHeight="true" outlineLevel="0" collapsed="false">
      <c r="B398" s="16" t="s">
        <v>299</v>
      </c>
      <c r="C398" s="16"/>
      <c r="D398" s="16"/>
      <c r="E398" s="16"/>
      <c r="F398" s="16"/>
      <c r="G398" s="16"/>
      <c r="H398" s="16"/>
    </row>
    <row r="399" customFormat="false" ht="13.5" hidden="false" customHeight="true" outlineLevel="0" collapsed="false">
      <c r="B399" s="16" t="s">
        <v>267</v>
      </c>
      <c r="C399" s="16"/>
      <c r="D399" s="16"/>
      <c r="E399" s="16"/>
      <c r="F399" s="16"/>
      <c r="G399" s="16"/>
      <c r="H399" s="16"/>
    </row>
    <row r="400" customFormat="false" ht="13.5" hidden="false" customHeight="true" outlineLevel="0" collapsed="false">
      <c r="B400" s="16"/>
      <c r="C400" s="16"/>
      <c r="D400" s="16"/>
      <c r="E400" s="16"/>
      <c r="F400" s="16"/>
      <c r="G400" s="16"/>
      <c r="H400" s="16"/>
    </row>
    <row r="401" customFormat="false" ht="13.5" hidden="false" customHeight="true" outlineLevel="0" collapsed="false">
      <c r="B401" s="16" t="s">
        <v>26</v>
      </c>
      <c r="C401" s="16"/>
      <c r="D401" s="16"/>
      <c r="E401" s="16"/>
      <c r="F401" s="16"/>
      <c r="G401" s="16"/>
      <c r="H401" s="16"/>
    </row>
    <row r="402" customFormat="false" ht="13.5" hidden="false" customHeight="true" outlineLevel="0" collapsed="false">
      <c r="B402" s="16" t="s">
        <v>300</v>
      </c>
      <c r="C402" s="16"/>
      <c r="D402" s="16"/>
      <c r="E402" s="16"/>
      <c r="F402" s="16"/>
      <c r="G402" s="16"/>
      <c r="H402" s="16"/>
    </row>
    <row r="403" customFormat="false" ht="13.5" hidden="false" customHeight="true" outlineLevel="0" collapsed="false">
      <c r="B403" s="16" t="s">
        <v>301</v>
      </c>
      <c r="C403" s="16"/>
      <c r="D403" s="16"/>
      <c r="E403" s="16"/>
      <c r="F403" s="16"/>
      <c r="G403" s="16"/>
      <c r="H403" s="16"/>
    </row>
    <row r="404" customFormat="false" ht="13.5" hidden="false" customHeight="true" outlineLevel="0" collapsed="false">
      <c r="B404" s="16" t="s">
        <v>302</v>
      </c>
      <c r="C404" s="16"/>
      <c r="D404" s="16"/>
      <c r="E404" s="16"/>
      <c r="F404" s="16"/>
      <c r="G404" s="16"/>
      <c r="H404" s="16"/>
    </row>
    <row r="405" customFormat="false" ht="13.5" hidden="false" customHeight="true" outlineLevel="0" collapsed="false">
      <c r="B405" s="16" t="s">
        <v>303</v>
      </c>
      <c r="C405" s="16"/>
      <c r="D405" s="16"/>
      <c r="E405" s="16"/>
      <c r="F405" s="16"/>
      <c r="G405" s="16"/>
      <c r="H405" s="16"/>
    </row>
    <row r="406" customFormat="false" ht="13.5" hidden="false" customHeight="true" outlineLevel="0" collapsed="false">
      <c r="B406" s="16" t="s">
        <v>304</v>
      </c>
      <c r="C406" s="16"/>
      <c r="D406" s="16"/>
      <c r="E406" s="16"/>
      <c r="F406" s="16"/>
      <c r="G406" s="16"/>
      <c r="H406" s="16"/>
    </row>
    <row r="407" customFormat="false" ht="13.5" hidden="false" customHeight="true" outlineLevel="0" collapsed="false">
      <c r="B407" s="16" t="s">
        <v>267</v>
      </c>
      <c r="C407" s="16"/>
      <c r="D407" s="16"/>
      <c r="E407" s="16"/>
      <c r="F407" s="16"/>
      <c r="G407" s="16"/>
      <c r="H407" s="16"/>
    </row>
  </sheetData>
  <mergeCells count="409">
    <mergeCell ref="B1:H2"/>
    <mergeCell ref="B3:H3"/>
    <mergeCell ref="B4:C4"/>
    <mergeCell ref="D4:H4"/>
    <mergeCell ref="B5:C5"/>
    <mergeCell ref="E5:H5"/>
    <mergeCell ref="B6:C6"/>
    <mergeCell ref="D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  <mergeCell ref="B30:H30"/>
    <mergeCell ref="B31:H31"/>
    <mergeCell ref="B32:H32"/>
    <mergeCell ref="B33:H33"/>
    <mergeCell ref="B34:H34"/>
    <mergeCell ref="B35:H35"/>
    <mergeCell ref="B36:H36"/>
    <mergeCell ref="B37:H37"/>
    <mergeCell ref="B38:H38"/>
    <mergeCell ref="B39:H39"/>
    <mergeCell ref="B40:H40"/>
    <mergeCell ref="B41:H41"/>
    <mergeCell ref="B42:H42"/>
    <mergeCell ref="B43:H43"/>
    <mergeCell ref="B44:H44"/>
    <mergeCell ref="B45:H45"/>
    <mergeCell ref="B46:H46"/>
    <mergeCell ref="B47:H47"/>
    <mergeCell ref="B48:H48"/>
    <mergeCell ref="B49:H49"/>
    <mergeCell ref="B50:H50"/>
    <mergeCell ref="B51:H51"/>
    <mergeCell ref="B52:H52"/>
    <mergeCell ref="B53:H53"/>
    <mergeCell ref="B54:H54"/>
    <mergeCell ref="B55:H55"/>
    <mergeCell ref="B56:H56"/>
    <mergeCell ref="B57:H57"/>
    <mergeCell ref="B58:H58"/>
    <mergeCell ref="B59:H59"/>
    <mergeCell ref="B60:H60"/>
    <mergeCell ref="B61:H61"/>
    <mergeCell ref="B62:H62"/>
    <mergeCell ref="B63:H63"/>
    <mergeCell ref="B64:H64"/>
    <mergeCell ref="B65:H65"/>
    <mergeCell ref="B66:H66"/>
    <mergeCell ref="B67:H67"/>
    <mergeCell ref="B68:H68"/>
    <mergeCell ref="B69:H69"/>
    <mergeCell ref="B70:H70"/>
    <mergeCell ref="B71:H71"/>
    <mergeCell ref="B72:H72"/>
    <mergeCell ref="B73:H73"/>
    <mergeCell ref="B74:H74"/>
    <mergeCell ref="B75:H75"/>
    <mergeCell ref="B76:H76"/>
    <mergeCell ref="B77:H77"/>
    <mergeCell ref="B78:H78"/>
    <mergeCell ref="B79:H79"/>
    <mergeCell ref="B80:H80"/>
    <mergeCell ref="B81:H81"/>
    <mergeCell ref="B82:H82"/>
    <mergeCell ref="B83:H83"/>
    <mergeCell ref="B84:H84"/>
    <mergeCell ref="B85:H85"/>
    <mergeCell ref="B86:H86"/>
    <mergeCell ref="B87:H87"/>
    <mergeCell ref="B88:H88"/>
    <mergeCell ref="B89:H89"/>
    <mergeCell ref="B90:H90"/>
    <mergeCell ref="B91:H91"/>
    <mergeCell ref="B92:H92"/>
    <mergeCell ref="B93:H93"/>
    <mergeCell ref="B94:H94"/>
    <mergeCell ref="B95:H95"/>
    <mergeCell ref="B96:H96"/>
    <mergeCell ref="B97:H97"/>
    <mergeCell ref="B98:H98"/>
    <mergeCell ref="B99:H99"/>
    <mergeCell ref="B100:H100"/>
    <mergeCell ref="B101:H101"/>
    <mergeCell ref="B102:H102"/>
    <mergeCell ref="B103:H103"/>
    <mergeCell ref="B104:H104"/>
    <mergeCell ref="B105:H105"/>
    <mergeCell ref="B106:H106"/>
    <mergeCell ref="B107:H107"/>
    <mergeCell ref="B108:H108"/>
    <mergeCell ref="B109:H109"/>
    <mergeCell ref="B110:H110"/>
    <mergeCell ref="B111:H111"/>
    <mergeCell ref="B112:H112"/>
    <mergeCell ref="B113:H113"/>
    <mergeCell ref="B114:H114"/>
    <mergeCell ref="B115:H115"/>
    <mergeCell ref="B116:H116"/>
    <mergeCell ref="B117:H117"/>
    <mergeCell ref="B118:H118"/>
    <mergeCell ref="B119:H119"/>
    <mergeCell ref="B120:H120"/>
    <mergeCell ref="B121:H121"/>
    <mergeCell ref="B122:H122"/>
    <mergeCell ref="B123:H123"/>
    <mergeCell ref="B124:H124"/>
    <mergeCell ref="B125:H125"/>
    <mergeCell ref="B126:H126"/>
    <mergeCell ref="B127:H127"/>
    <mergeCell ref="B128:H128"/>
    <mergeCell ref="B129:H129"/>
    <mergeCell ref="B130:H130"/>
    <mergeCell ref="B131:H131"/>
    <mergeCell ref="B132:H132"/>
    <mergeCell ref="B133:H133"/>
    <mergeCell ref="B134:H134"/>
    <mergeCell ref="B135:H135"/>
    <mergeCell ref="B136:H136"/>
    <mergeCell ref="B137:H137"/>
    <mergeCell ref="B138:H138"/>
    <mergeCell ref="B139:H139"/>
    <mergeCell ref="B140:H140"/>
    <mergeCell ref="B141:H141"/>
    <mergeCell ref="B142:H142"/>
    <mergeCell ref="B143:H143"/>
    <mergeCell ref="B144:H144"/>
    <mergeCell ref="B145:H145"/>
    <mergeCell ref="B146:H146"/>
    <mergeCell ref="B147:H147"/>
    <mergeCell ref="B148:H148"/>
    <mergeCell ref="B149:H149"/>
    <mergeCell ref="B150:H150"/>
    <mergeCell ref="B151:H151"/>
    <mergeCell ref="B152:H152"/>
    <mergeCell ref="B153:H153"/>
    <mergeCell ref="B154:H154"/>
    <mergeCell ref="B155:H155"/>
    <mergeCell ref="B156:H156"/>
    <mergeCell ref="B157:H157"/>
    <mergeCell ref="B158:H158"/>
    <mergeCell ref="B159:H159"/>
    <mergeCell ref="B160:H160"/>
    <mergeCell ref="B161:H161"/>
    <mergeCell ref="B162:H162"/>
    <mergeCell ref="B163:H163"/>
    <mergeCell ref="B164:H164"/>
    <mergeCell ref="B165:H165"/>
    <mergeCell ref="B166:H166"/>
    <mergeCell ref="B167:H167"/>
    <mergeCell ref="B168:H168"/>
    <mergeCell ref="B169:H169"/>
    <mergeCell ref="B170:H170"/>
    <mergeCell ref="B171:H171"/>
    <mergeCell ref="B172:H172"/>
    <mergeCell ref="B173:H173"/>
    <mergeCell ref="B174:H174"/>
    <mergeCell ref="B175:H175"/>
    <mergeCell ref="B176:H176"/>
    <mergeCell ref="B177:H177"/>
    <mergeCell ref="B178:H178"/>
    <mergeCell ref="B179:H179"/>
    <mergeCell ref="B180:H180"/>
    <mergeCell ref="B181:H181"/>
    <mergeCell ref="B182:H182"/>
    <mergeCell ref="B183:H183"/>
    <mergeCell ref="B184:H184"/>
    <mergeCell ref="B185:H185"/>
    <mergeCell ref="B186:H186"/>
    <mergeCell ref="B187:H187"/>
    <mergeCell ref="B188:H188"/>
    <mergeCell ref="B189:H189"/>
    <mergeCell ref="B190:H190"/>
    <mergeCell ref="B191:H191"/>
    <mergeCell ref="B192:H192"/>
    <mergeCell ref="B193:H193"/>
    <mergeCell ref="B194:H194"/>
    <mergeCell ref="B195:H195"/>
    <mergeCell ref="B196:H196"/>
    <mergeCell ref="B197:H197"/>
    <mergeCell ref="B198:H198"/>
    <mergeCell ref="B199:H199"/>
    <mergeCell ref="B200:H200"/>
    <mergeCell ref="B201:H201"/>
    <mergeCell ref="B202:H202"/>
    <mergeCell ref="B203:H203"/>
    <mergeCell ref="B204:H204"/>
    <mergeCell ref="B205:H205"/>
    <mergeCell ref="B206:H206"/>
    <mergeCell ref="B207:H207"/>
    <mergeCell ref="B208:H208"/>
    <mergeCell ref="B209:H209"/>
    <mergeCell ref="B210:H210"/>
    <mergeCell ref="B211:H211"/>
    <mergeCell ref="B212:H212"/>
    <mergeCell ref="B213:H213"/>
    <mergeCell ref="B214:H214"/>
    <mergeCell ref="B215:H215"/>
    <mergeCell ref="B216:H216"/>
    <mergeCell ref="B217:H217"/>
    <mergeCell ref="B218:H218"/>
    <mergeCell ref="B219:H219"/>
    <mergeCell ref="B220:H220"/>
    <mergeCell ref="B221:H221"/>
    <mergeCell ref="B222:H222"/>
    <mergeCell ref="B223:H223"/>
    <mergeCell ref="B224:H224"/>
    <mergeCell ref="B225:H225"/>
    <mergeCell ref="B226:H226"/>
    <mergeCell ref="B227:H227"/>
    <mergeCell ref="B228:H228"/>
    <mergeCell ref="B229:H229"/>
    <mergeCell ref="B230:H230"/>
    <mergeCell ref="B231:H231"/>
    <mergeCell ref="B232:H232"/>
    <mergeCell ref="B233:H233"/>
    <mergeCell ref="B234:H234"/>
    <mergeCell ref="B235:H235"/>
    <mergeCell ref="B236:H236"/>
    <mergeCell ref="B237:H237"/>
    <mergeCell ref="B238:H238"/>
    <mergeCell ref="B239:H239"/>
    <mergeCell ref="B240:H240"/>
    <mergeCell ref="B241:H241"/>
    <mergeCell ref="B242:H242"/>
    <mergeCell ref="B243:H243"/>
    <mergeCell ref="B244:H244"/>
    <mergeCell ref="B245:H245"/>
    <mergeCell ref="B246:H246"/>
    <mergeCell ref="B247:H247"/>
    <mergeCell ref="B248:H248"/>
    <mergeCell ref="B249:H249"/>
    <mergeCell ref="B250:H250"/>
    <mergeCell ref="B251:H251"/>
    <mergeCell ref="B252:H252"/>
    <mergeCell ref="B253:H253"/>
    <mergeCell ref="B254:H254"/>
    <mergeCell ref="B255:H255"/>
    <mergeCell ref="B256:H256"/>
    <mergeCell ref="B257:H257"/>
    <mergeCell ref="B258:H258"/>
    <mergeCell ref="B259:H259"/>
    <mergeCell ref="B260:H260"/>
    <mergeCell ref="B261:H261"/>
    <mergeCell ref="B262:H262"/>
    <mergeCell ref="B263:H263"/>
    <mergeCell ref="B264:H264"/>
    <mergeCell ref="B265:H265"/>
    <mergeCell ref="B266:H266"/>
    <mergeCell ref="B267:H267"/>
    <mergeCell ref="B268:H268"/>
    <mergeCell ref="B269:H269"/>
    <mergeCell ref="B270:H270"/>
    <mergeCell ref="B271:H271"/>
    <mergeCell ref="B272:H272"/>
    <mergeCell ref="B273:H273"/>
    <mergeCell ref="B274:H274"/>
    <mergeCell ref="B275:H275"/>
    <mergeCell ref="B276:H276"/>
    <mergeCell ref="B277:H277"/>
    <mergeCell ref="B278:H278"/>
    <mergeCell ref="B279:H279"/>
    <mergeCell ref="B280:H280"/>
    <mergeCell ref="B281:H281"/>
    <mergeCell ref="B282:H282"/>
    <mergeCell ref="B283:H283"/>
    <mergeCell ref="B284:H284"/>
    <mergeCell ref="B285:H285"/>
    <mergeCell ref="B286:H286"/>
    <mergeCell ref="B287:H287"/>
    <mergeCell ref="B288:H288"/>
    <mergeCell ref="B289:H289"/>
    <mergeCell ref="B290:H290"/>
    <mergeCell ref="B291:H291"/>
    <mergeCell ref="B292:H292"/>
    <mergeCell ref="B293:H293"/>
    <mergeCell ref="B294:H294"/>
    <mergeCell ref="B295:H295"/>
    <mergeCell ref="B296:H296"/>
    <mergeCell ref="B297:H297"/>
    <mergeCell ref="B298:H298"/>
    <mergeCell ref="B299:H299"/>
    <mergeCell ref="B300:H300"/>
    <mergeCell ref="B301:H301"/>
    <mergeCell ref="B302:H302"/>
    <mergeCell ref="B303:H303"/>
    <mergeCell ref="B304:H304"/>
    <mergeCell ref="B305:H305"/>
    <mergeCell ref="B306:H306"/>
    <mergeCell ref="B307:H307"/>
    <mergeCell ref="B308:H308"/>
    <mergeCell ref="B309:H309"/>
    <mergeCell ref="B310:H310"/>
    <mergeCell ref="B311:H311"/>
    <mergeCell ref="B312:H312"/>
    <mergeCell ref="B313:H313"/>
    <mergeCell ref="B314:H314"/>
    <mergeCell ref="B315:H315"/>
    <mergeCell ref="B316:H316"/>
    <mergeCell ref="B317:H317"/>
    <mergeCell ref="B318:H318"/>
    <mergeCell ref="B319:H319"/>
    <mergeCell ref="B320:H320"/>
    <mergeCell ref="B321:H321"/>
    <mergeCell ref="B322:H322"/>
    <mergeCell ref="B323:H323"/>
    <mergeCell ref="B324:H324"/>
    <mergeCell ref="B325:H325"/>
    <mergeCell ref="B326:H326"/>
    <mergeCell ref="B327:H327"/>
    <mergeCell ref="B328:H328"/>
    <mergeCell ref="B329:H329"/>
    <mergeCell ref="B330:H330"/>
    <mergeCell ref="B331:H331"/>
    <mergeCell ref="B332:H332"/>
    <mergeCell ref="B333:H333"/>
    <mergeCell ref="B334:H334"/>
    <mergeCell ref="B335:H335"/>
    <mergeCell ref="B336:H336"/>
    <mergeCell ref="B337:H337"/>
    <mergeCell ref="B338:H338"/>
    <mergeCell ref="B339:H339"/>
    <mergeCell ref="B340:H340"/>
    <mergeCell ref="B341:H341"/>
    <mergeCell ref="B342:H342"/>
    <mergeCell ref="B343:H343"/>
    <mergeCell ref="B344:H344"/>
    <mergeCell ref="B345:H345"/>
    <mergeCell ref="B346:H346"/>
    <mergeCell ref="B347:H347"/>
    <mergeCell ref="B348:H348"/>
    <mergeCell ref="B349:H349"/>
    <mergeCell ref="B350:H350"/>
    <mergeCell ref="B351:H351"/>
    <mergeCell ref="B352:H352"/>
    <mergeCell ref="B353:H353"/>
    <mergeCell ref="B354:H354"/>
    <mergeCell ref="B355:H355"/>
    <mergeCell ref="B356:H356"/>
    <mergeCell ref="B357:H357"/>
    <mergeCell ref="B358:H358"/>
    <mergeCell ref="B359:H359"/>
    <mergeCell ref="B360:H360"/>
    <mergeCell ref="B361:H361"/>
    <mergeCell ref="B362:H362"/>
    <mergeCell ref="B363:H363"/>
    <mergeCell ref="B364:H364"/>
    <mergeCell ref="B365:H365"/>
    <mergeCell ref="B366:H366"/>
    <mergeCell ref="B367:H367"/>
    <mergeCell ref="B368:H368"/>
    <mergeCell ref="B369:H369"/>
    <mergeCell ref="B370:H370"/>
    <mergeCell ref="B371:H371"/>
    <mergeCell ref="B372:H372"/>
    <mergeCell ref="B373:H373"/>
    <mergeCell ref="B374:H374"/>
    <mergeCell ref="B375:H375"/>
    <mergeCell ref="B376:H376"/>
    <mergeCell ref="B377:H377"/>
    <mergeCell ref="B378:H378"/>
    <mergeCell ref="B379:H379"/>
    <mergeCell ref="B380:H380"/>
    <mergeCell ref="B381:H381"/>
    <mergeCell ref="B382:H382"/>
    <mergeCell ref="B383:H383"/>
    <mergeCell ref="B384:H384"/>
    <mergeCell ref="B385:H385"/>
    <mergeCell ref="B386:H386"/>
    <mergeCell ref="B387:H387"/>
    <mergeCell ref="B388:H388"/>
    <mergeCell ref="B389:H389"/>
    <mergeCell ref="B390:H390"/>
    <mergeCell ref="B391:H391"/>
    <mergeCell ref="B392:H392"/>
    <mergeCell ref="B393:H393"/>
    <mergeCell ref="B394:H394"/>
    <mergeCell ref="B395:H395"/>
    <mergeCell ref="B396:H396"/>
    <mergeCell ref="B397:H397"/>
    <mergeCell ref="B398:H398"/>
    <mergeCell ref="B399:H399"/>
    <mergeCell ref="B400:H400"/>
    <mergeCell ref="B401:H401"/>
    <mergeCell ref="B402:H402"/>
    <mergeCell ref="B403:H403"/>
    <mergeCell ref="B404:H404"/>
    <mergeCell ref="B405:H405"/>
    <mergeCell ref="B406:H406"/>
    <mergeCell ref="B407:H40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B1:K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"/>
    <col collapsed="false" customWidth="true" hidden="false" outlineLevel="0" max="3" min="3" style="1" width="26"/>
    <col collapsed="false" customWidth="true" hidden="false" outlineLevel="0" max="5" min="4" style="1" width="10"/>
    <col collapsed="false" customWidth="true" hidden="false" outlineLevel="0" max="7" min="6" style="1" width="16"/>
    <col collapsed="false" customWidth="true" hidden="false" outlineLevel="0" max="8" min="8" style="1" width="14"/>
    <col collapsed="false" customWidth="true" hidden="false" outlineLevel="0" max="9" min="9" style="1" width="12"/>
    <col collapsed="false" customWidth="true" hidden="false" outlineLevel="0" max="10" min="10" style="1" width="16"/>
  </cols>
  <sheetData>
    <row r="1" customFormat="false" ht="15" hidden="false" customHeight="true" outlineLevel="0" collapsed="false">
      <c r="B1" s="17" t="s">
        <v>305</v>
      </c>
      <c r="C1" s="17"/>
      <c r="D1" s="17"/>
      <c r="E1" s="17"/>
      <c r="F1" s="17"/>
      <c r="G1" s="17"/>
      <c r="H1" s="17"/>
      <c r="I1" s="17"/>
      <c r="J1" s="17"/>
    </row>
    <row r="2" customFormat="false" ht="15" hidden="false" customHeight="true" outlineLevel="0" collapsed="false">
      <c r="B2" s="17"/>
      <c r="C2" s="17"/>
      <c r="D2" s="17"/>
      <c r="E2" s="17"/>
      <c r="F2" s="17"/>
      <c r="G2" s="17"/>
      <c r="H2" s="17"/>
      <c r="I2" s="17"/>
      <c r="J2" s="17"/>
    </row>
    <row r="3" customFormat="false" ht="15" hidden="false" customHeight="true" outlineLevel="0" collapsed="false">
      <c r="B3" s="17"/>
      <c r="C3" s="17"/>
      <c r="D3" s="17"/>
      <c r="E3" s="17"/>
      <c r="F3" s="17"/>
      <c r="G3" s="17"/>
      <c r="H3" s="17"/>
      <c r="I3" s="17"/>
      <c r="J3" s="17"/>
    </row>
    <row r="4" customFormat="false" ht="15" hidden="false" customHeight="true" outlineLevel="0" collapsed="false">
      <c r="B4" s="18" t="s">
        <v>306</v>
      </c>
      <c r="C4" s="18"/>
      <c r="D4" s="18"/>
      <c r="E4" s="18"/>
      <c r="F4" s="18"/>
      <c r="G4" s="18"/>
      <c r="H4" s="18"/>
      <c r="I4" s="18"/>
      <c r="J4" s="18"/>
    </row>
    <row r="5" customFormat="false" ht="15" hidden="false" customHeight="true" outlineLevel="0" collapsed="false">
      <c r="B5" s="19" t="s">
        <v>307</v>
      </c>
      <c r="C5" s="19"/>
      <c r="D5" s="19"/>
      <c r="E5" s="19"/>
      <c r="F5" s="19"/>
      <c r="G5" s="19"/>
      <c r="H5" s="19"/>
      <c r="I5" s="19"/>
      <c r="J5" s="19"/>
    </row>
    <row r="7" customFormat="false" ht="27.75" hidden="false" customHeight="true" outlineLevel="0" collapsed="false">
      <c r="B7" s="20" t="s">
        <v>308</v>
      </c>
      <c r="C7" s="20" t="s">
        <v>309</v>
      </c>
      <c r="D7" s="20" t="s">
        <v>310</v>
      </c>
      <c r="E7" s="20" t="s">
        <v>311</v>
      </c>
      <c r="F7" s="20" t="s">
        <v>312</v>
      </c>
      <c r="G7" s="20" t="s">
        <v>313</v>
      </c>
      <c r="H7" s="20" t="s">
        <v>314</v>
      </c>
      <c r="I7" s="20" t="s">
        <v>315</v>
      </c>
      <c r="J7" s="20" t="s">
        <v>316</v>
      </c>
      <c r="K7" s="20" t="s">
        <v>317</v>
      </c>
    </row>
    <row r="8" customFormat="false" ht="15.75" hidden="false" customHeight="true" outlineLevel="0" collapsed="false">
      <c r="B8" s="21" t="n">
        <v>2026</v>
      </c>
      <c r="C8" s="21" t="s">
        <v>318</v>
      </c>
      <c r="D8" s="22" t="s">
        <v>319</v>
      </c>
      <c r="E8" s="23" t="n">
        <v>425760.24</v>
      </c>
      <c r="F8" s="23" t="n">
        <v>424057.19904</v>
      </c>
      <c r="G8" s="24" t="n">
        <v>47434.0246618128</v>
      </c>
      <c r="H8" s="24" t="n">
        <v>-84.8114398079999</v>
      </c>
      <c r="I8" s="24" t="n">
        <v>47349.2132220048</v>
      </c>
      <c r="J8" s="24" t="n">
        <v>0</v>
      </c>
      <c r="K8" s="21" t="s">
        <v>320</v>
      </c>
    </row>
    <row r="9" customFormat="false" ht="15.75" hidden="false" customHeight="true" outlineLevel="0" collapsed="false">
      <c r="B9" s="25" t="n">
        <v>2026</v>
      </c>
      <c r="C9" s="25" t="s">
        <v>318</v>
      </c>
      <c r="D9" s="22" t="s">
        <v>321</v>
      </c>
      <c r="E9" s="26" t="n">
        <v>24295.2399999995</v>
      </c>
      <c r="F9" s="26" t="n">
        <v>24854.0305199995</v>
      </c>
      <c r="G9" s="27" t="n">
        <v>3025.13124334057</v>
      </c>
      <c r="H9" s="27" t="n">
        <v>-4.97080610399989</v>
      </c>
      <c r="I9" s="27" t="n">
        <v>3020.16043723657</v>
      </c>
      <c r="J9" s="27" t="n">
        <v>0</v>
      </c>
      <c r="K9" s="25" t="s">
        <v>320</v>
      </c>
    </row>
    <row r="10" customFormat="false" ht="15.75" hidden="false" customHeight="true" outlineLevel="0" collapsed="false">
      <c r="B10" s="21" t="n">
        <v>2026</v>
      </c>
      <c r="C10" s="21" t="s">
        <v>318</v>
      </c>
      <c r="D10" s="22" t="s">
        <v>322</v>
      </c>
      <c r="E10" s="23" t="n">
        <v>652486.4</v>
      </c>
      <c r="F10" s="23" t="n">
        <v>667493.5872</v>
      </c>
      <c r="G10" s="24" t="n">
        <v>79168.4127897601</v>
      </c>
      <c r="H10" s="24" t="n">
        <v>-133.49871744</v>
      </c>
      <c r="I10" s="24" t="n">
        <v>79034.9140723201</v>
      </c>
      <c r="J10" s="24" t="n">
        <v>0</v>
      </c>
      <c r="K10" s="21" t="s">
        <v>320</v>
      </c>
    </row>
    <row r="11" customFormat="false" ht="15.75" hidden="false" customHeight="true" outlineLevel="0" collapsed="false">
      <c r="B11" s="25" t="n">
        <v>2026</v>
      </c>
      <c r="C11" s="25" t="s">
        <v>318</v>
      </c>
      <c r="D11" s="22" t="s">
        <v>323</v>
      </c>
      <c r="E11" s="26" t="n">
        <v>629425.759999999</v>
      </c>
      <c r="F11" s="26" t="n">
        <v>643902.552479998</v>
      </c>
      <c r="G11" s="27" t="n">
        <v>76759.6841139122</v>
      </c>
      <c r="H11" s="27" t="n">
        <v>-128.780510496</v>
      </c>
      <c r="I11" s="27" t="n">
        <v>76630.9036034162</v>
      </c>
      <c r="J11" s="27" t="n">
        <v>0</v>
      </c>
      <c r="K11" s="25" t="s">
        <v>320</v>
      </c>
    </row>
    <row r="12" customFormat="false" ht="15.75" hidden="false" customHeight="true" outlineLevel="0" collapsed="false">
      <c r="B12" s="21" t="n">
        <v>2026</v>
      </c>
      <c r="C12" s="21" t="s">
        <v>318</v>
      </c>
      <c r="D12" s="22" t="s">
        <v>324</v>
      </c>
      <c r="E12" s="23" t="n">
        <v>111376.125</v>
      </c>
      <c r="F12" s="23" t="n">
        <v>110930.6205</v>
      </c>
      <c r="G12" s="24" t="n">
        <v>12280.380456909</v>
      </c>
      <c r="H12" s="24" t="n">
        <v>-22.1861241</v>
      </c>
      <c r="I12" s="24" t="n">
        <v>12258.1943328091</v>
      </c>
      <c r="J12" s="24" t="n">
        <v>0</v>
      </c>
      <c r="K12" s="21" t="s">
        <v>320</v>
      </c>
    </row>
    <row r="13" customFormat="false" ht="15.75" hidden="false" customHeight="true" outlineLevel="0" collapsed="false">
      <c r="B13" s="25" t="n">
        <v>2026</v>
      </c>
      <c r="C13" s="25" t="s">
        <v>318</v>
      </c>
      <c r="D13" s="22" t="s">
        <v>325</v>
      </c>
      <c r="E13" s="26" t="n">
        <v>112069.200000002</v>
      </c>
      <c r="F13" s="26" t="n">
        <v>111620.923200002</v>
      </c>
      <c r="G13" s="27" t="n">
        <v>12199.6592156119</v>
      </c>
      <c r="H13" s="27" t="n">
        <v>-22.3241846400004</v>
      </c>
      <c r="I13" s="27" t="n">
        <v>12177.3350309719</v>
      </c>
      <c r="J13" s="27" t="n">
        <v>0</v>
      </c>
      <c r="K13" s="25" t="s">
        <v>320</v>
      </c>
    </row>
    <row r="14" customFormat="false" ht="15.75" hidden="false" customHeight="true" outlineLevel="0" collapsed="false">
      <c r="B14" s="21" t="n">
        <v>2026</v>
      </c>
      <c r="C14" s="21" t="s">
        <v>318</v>
      </c>
      <c r="D14" s="22" t="s">
        <v>326</v>
      </c>
      <c r="E14" s="23" t="n">
        <v>33209.6999999999</v>
      </c>
      <c r="F14" s="23" t="n">
        <v>33076.8611999999</v>
      </c>
      <c r="G14" s="24" t="n">
        <v>3870.29813081358</v>
      </c>
      <c r="H14" s="24" t="n">
        <v>-6.61537223999998</v>
      </c>
      <c r="I14" s="24" t="n">
        <v>3863.68275857358</v>
      </c>
      <c r="J14" s="24" t="n">
        <v>0</v>
      </c>
      <c r="K14" s="21" t="s">
        <v>320</v>
      </c>
    </row>
    <row r="15" customFormat="false" ht="15.75" hidden="false" customHeight="true" outlineLevel="0" collapsed="false">
      <c r="B15" s="25" t="n">
        <v>2026</v>
      </c>
      <c r="C15" s="25" t="s">
        <v>318</v>
      </c>
      <c r="D15" s="22" t="s">
        <v>327</v>
      </c>
      <c r="E15" s="26" t="n">
        <v>76190.1599999965</v>
      </c>
      <c r="F15" s="26" t="n">
        <v>75885.3993599965</v>
      </c>
      <c r="G15" s="27" t="n">
        <v>8742.47177838569</v>
      </c>
      <c r="H15" s="27" t="n">
        <v>-15.1770798719993</v>
      </c>
      <c r="I15" s="27" t="n">
        <v>8727.29469851368</v>
      </c>
      <c r="J15" s="27" t="n">
        <v>0</v>
      </c>
      <c r="K15" s="25" t="s">
        <v>320</v>
      </c>
    </row>
    <row r="16" customFormat="false" ht="15.75" hidden="false" customHeight="true" outlineLevel="0" collapsed="false">
      <c r="B16" s="21" t="n">
        <v>2026</v>
      </c>
      <c r="C16" s="21" t="s">
        <v>318</v>
      </c>
      <c r="D16" s="22" t="s">
        <v>328</v>
      </c>
      <c r="E16" s="23" t="n">
        <v>209754.75</v>
      </c>
      <c r="F16" s="23" t="n">
        <v>214579.10925</v>
      </c>
      <c r="G16" s="24" t="n">
        <v>25631.1276104785</v>
      </c>
      <c r="H16" s="24" t="n">
        <v>-42.91582185</v>
      </c>
      <c r="I16" s="24" t="n">
        <v>25588.2117886285</v>
      </c>
      <c r="J16" s="24" t="n">
        <v>0</v>
      </c>
      <c r="K16" s="21" t="s">
        <v>320</v>
      </c>
    </row>
    <row r="17" customFormat="false" ht="15.75" hidden="false" customHeight="true" outlineLevel="0" collapsed="false">
      <c r="B17" s="25" t="n">
        <v>2026</v>
      </c>
      <c r="C17" s="25" t="s">
        <v>318</v>
      </c>
      <c r="D17" s="22" t="s">
        <v>329</v>
      </c>
      <c r="E17" s="26" t="n">
        <v>199294.559999995</v>
      </c>
      <c r="F17" s="26" t="n">
        <v>203878.334879994</v>
      </c>
      <c r="G17" s="27" t="n">
        <v>24021.4240388268</v>
      </c>
      <c r="H17" s="27" t="n">
        <v>-40.7756669759989</v>
      </c>
      <c r="I17" s="27" t="n">
        <v>23980.6483718508</v>
      </c>
      <c r="J17" s="27" t="n">
        <v>0</v>
      </c>
      <c r="K17" s="25" t="s">
        <v>320</v>
      </c>
    </row>
    <row r="18" customFormat="false" ht="15.75" hidden="false" customHeight="true" outlineLevel="0" collapsed="false">
      <c r="B18" s="21" t="n">
        <v>2026</v>
      </c>
      <c r="C18" s="21" t="s">
        <v>318</v>
      </c>
      <c r="D18" s="22" t="s">
        <v>330</v>
      </c>
      <c r="E18" s="23" t="n">
        <v>353361.600000007</v>
      </c>
      <c r="F18" s="23" t="n">
        <v>351948.153600008</v>
      </c>
      <c r="G18" s="24" t="n">
        <v>41581.3097315157</v>
      </c>
      <c r="H18" s="24" t="n">
        <v>-70.3896307200015</v>
      </c>
      <c r="I18" s="24" t="n">
        <v>41510.9201007957</v>
      </c>
      <c r="J18" s="24" t="n">
        <v>0</v>
      </c>
      <c r="K18" s="21" t="s">
        <v>320</v>
      </c>
    </row>
    <row r="19" customFormat="false" ht="15.75" hidden="false" customHeight="true" outlineLevel="0" collapsed="false">
      <c r="B19" s="25" t="n">
        <v>2026</v>
      </c>
      <c r="C19" s="25" t="s">
        <v>318</v>
      </c>
      <c r="D19" s="22" t="s">
        <v>331</v>
      </c>
      <c r="E19" s="26" t="n">
        <v>356199.600000007</v>
      </c>
      <c r="F19" s="26" t="n">
        <v>364392.190800007</v>
      </c>
      <c r="G19" s="27" t="n">
        <v>43280.1913045306</v>
      </c>
      <c r="H19" s="27" t="n">
        <v>-72.8784381600015</v>
      </c>
      <c r="I19" s="27" t="n">
        <v>43207.3128663706</v>
      </c>
      <c r="J19" s="27" t="n">
        <v>0</v>
      </c>
      <c r="K19" s="25" t="s">
        <v>320</v>
      </c>
    </row>
    <row r="20" customFormat="false" ht="15.75" hidden="false" customHeight="true" outlineLevel="0" collapsed="false">
      <c r="B20" s="21" t="n">
        <v>2026</v>
      </c>
      <c r="C20" s="21" t="s">
        <v>318</v>
      </c>
      <c r="D20" s="22" t="s">
        <v>332</v>
      </c>
      <c r="E20" s="23" t="n">
        <v>7469.17800000006</v>
      </c>
      <c r="F20" s="23" t="n">
        <v>7640.96909400004</v>
      </c>
      <c r="G20" s="24" t="n">
        <v>900.694879193146</v>
      </c>
      <c r="H20" s="24" t="n">
        <v>-1.52819381880001</v>
      </c>
      <c r="I20" s="24" t="n">
        <v>899.166685374345</v>
      </c>
      <c r="J20" s="24" t="n">
        <v>0</v>
      </c>
      <c r="K20" s="21" t="s">
        <v>320</v>
      </c>
    </row>
    <row r="21" customFormat="false" ht="15.75" hidden="false" customHeight="true" outlineLevel="0" collapsed="false">
      <c r="B21" s="25" t="n">
        <v>2026</v>
      </c>
      <c r="C21" s="25" t="s">
        <v>318</v>
      </c>
      <c r="D21" s="22" t="s">
        <v>333</v>
      </c>
      <c r="E21" s="26" t="n">
        <v>3977122.71329138</v>
      </c>
      <c r="F21" s="26" t="n">
        <v>3977122.71329138</v>
      </c>
      <c r="G21" s="27" t="n">
        <v>481202.521276204</v>
      </c>
      <c r="H21" s="27" t="n">
        <v>-795.424542658275</v>
      </c>
      <c r="I21" s="27" t="n">
        <v>480407.096733545</v>
      </c>
      <c r="J21" s="27" t="n">
        <v>0</v>
      </c>
      <c r="K21" s="25" t="s">
        <v>334</v>
      </c>
    </row>
    <row r="22" customFormat="false" ht="15.75" hidden="false" customHeight="true" outlineLevel="0" collapsed="false">
      <c r="B22" s="21" t="n">
        <v>2026</v>
      </c>
      <c r="C22" s="21" t="s">
        <v>318</v>
      </c>
      <c r="D22" s="22" t="s">
        <v>335</v>
      </c>
      <c r="E22" s="23" t="n">
        <v>1906854.1571099</v>
      </c>
      <c r="F22" s="23" t="n">
        <v>1906854.1571099</v>
      </c>
      <c r="G22" s="24" t="n">
        <v>227341.494960739</v>
      </c>
      <c r="H22" s="24" t="n">
        <v>-381.37083142198</v>
      </c>
      <c r="I22" s="24" t="n">
        <v>226960.124129317</v>
      </c>
      <c r="J22" s="24" t="n">
        <v>0</v>
      </c>
      <c r="K22" s="21" t="s">
        <v>334</v>
      </c>
    </row>
    <row r="23" customFormat="false" ht="15.75" hidden="false" customHeight="true" outlineLevel="0" collapsed="false">
      <c r="B23" s="25" t="n">
        <v>2026</v>
      </c>
      <c r="C23" s="25" t="s">
        <v>318</v>
      </c>
      <c r="D23" s="22" t="s">
        <v>336</v>
      </c>
      <c r="E23" s="26" t="n">
        <v>4716695.21352058</v>
      </c>
      <c r="F23" s="26" t="n">
        <v>4716695.21352058</v>
      </c>
      <c r="G23" s="27" t="n">
        <v>589371.139327733</v>
      </c>
      <c r="H23" s="27" t="n">
        <v>-943.339042704116</v>
      </c>
      <c r="I23" s="27" t="n">
        <v>588427.800285029</v>
      </c>
      <c r="J23" s="27" t="n">
        <v>0</v>
      </c>
      <c r="K23" s="25" t="s">
        <v>334</v>
      </c>
    </row>
    <row r="24" customFormat="false" ht="15.75" hidden="false" customHeight="true" outlineLevel="0" collapsed="false">
      <c r="B24" s="21" t="n">
        <v>2026</v>
      </c>
      <c r="C24" s="21" t="s">
        <v>337</v>
      </c>
      <c r="D24" s="22" t="s">
        <v>319</v>
      </c>
      <c r="E24" s="23" t="n">
        <v>721128.240000005</v>
      </c>
      <c r="F24" s="23" t="n">
        <v>718243.727040005</v>
      </c>
      <c r="G24" s="24" t="n">
        <v>56076.5738658954</v>
      </c>
      <c r="H24" s="24" t="n">
        <v>-143.648745408001</v>
      </c>
      <c r="I24" s="24" t="n">
        <v>55932.9251204873</v>
      </c>
      <c r="J24" s="24" t="n">
        <v>0</v>
      </c>
      <c r="K24" s="21" t="s">
        <v>320</v>
      </c>
    </row>
    <row r="25" customFormat="false" ht="15.75" hidden="false" customHeight="true" outlineLevel="0" collapsed="false">
      <c r="B25" s="25" t="n">
        <v>2026</v>
      </c>
      <c r="C25" s="25" t="s">
        <v>337</v>
      </c>
      <c r="D25" s="22" t="s">
        <v>321</v>
      </c>
      <c r="E25" s="26" t="n">
        <v>46406.6800000001</v>
      </c>
      <c r="F25" s="26" t="n">
        <v>47474.0336399999</v>
      </c>
      <c r="G25" s="27" t="n">
        <v>3611.67282296191</v>
      </c>
      <c r="H25" s="27" t="n">
        <v>-9.49480672800001</v>
      </c>
      <c r="I25" s="27" t="n">
        <v>3602.17801623392</v>
      </c>
      <c r="J25" s="27" t="n">
        <v>0</v>
      </c>
      <c r="K25" s="25" t="s">
        <v>320</v>
      </c>
    </row>
    <row r="26" customFormat="false" ht="15.75" hidden="false" customHeight="true" outlineLevel="0" collapsed="false">
      <c r="B26" s="21" t="n">
        <v>2026</v>
      </c>
      <c r="C26" s="21" t="s">
        <v>337</v>
      </c>
      <c r="D26" s="22" t="s">
        <v>322</v>
      </c>
      <c r="E26" s="23" t="n">
        <v>851477.2</v>
      </c>
      <c r="F26" s="23" t="n">
        <v>871061.1756</v>
      </c>
      <c r="G26" s="24" t="n">
        <v>69188.2972196605</v>
      </c>
      <c r="H26" s="24" t="n">
        <v>-174.21223512</v>
      </c>
      <c r="I26" s="24" t="n">
        <v>69014.0849845405</v>
      </c>
      <c r="J26" s="24" t="n">
        <v>0</v>
      </c>
      <c r="K26" s="21" t="s">
        <v>320</v>
      </c>
    </row>
    <row r="27" customFormat="false" ht="15.75" hidden="false" customHeight="true" outlineLevel="0" collapsed="false">
      <c r="B27" s="25" t="n">
        <v>2026</v>
      </c>
      <c r="C27" s="25" t="s">
        <v>337</v>
      </c>
      <c r="D27" s="22" t="s">
        <v>323</v>
      </c>
      <c r="E27" s="26" t="n">
        <v>914786.720000001</v>
      </c>
      <c r="F27" s="26" t="n">
        <v>935826.81456</v>
      </c>
      <c r="G27" s="27" t="n">
        <v>73646.9904991416</v>
      </c>
      <c r="H27" s="27" t="n">
        <v>-187.165362912</v>
      </c>
      <c r="I27" s="27" t="n">
        <v>73459.8251362295</v>
      </c>
      <c r="J27" s="27" t="n">
        <v>0</v>
      </c>
      <c r="K27" s="25" t="s">
        <v>320</v>
      </c>
    </row>
    <row r="28" customFormat="false" ht="15.75" hidden="false" customHeight="true" outlineLevel="0" collapsed="false">
      <c r="B28" s="21" t="n">
        <v>2026</v>
      </c>
      <c r="C28" s="21" t="s">
        <v>337</v>
      </c>
      <c r="D28" s="22" t="s">
        <v>324</v>
      </c>
      <c r="E28" s="23" t="n">
        <v>214799.7</v>
      </c>
      <c r="F28" s="23" t="n">
        <v>213940.5012</v>
      </c>
      <c r="G28" s="24" t="n">
        <v>17453.8962123313</v>
      </c>
      <c r="H28" s="24" t="n">
        <v>-42.78810024</v>
      </c>
      <c r="I28" s="24" t="n">
        <v>17411.1081120913</v>
      </c>
      <c r="J28" s="24" t="n">
        <v>0</v>
      </c>
      <c r="K28" s="21" t="s">
        <v>320</v>
      </c>
    </row>
    <row r="29" customFormat="false" ht="15.75" hidden="false" customHeight="true" outlineLevel="0" collapsed="false">
      <c r="B29" s="25" t="n">
        <v>2026</v>
      </c>
      <c r="C29" s="25" t="s">
        <v>337</v>
      </c>
      <c r="D29" s="22" t="s">
        <v>325</v>
      </c>
      <c r="E29" s="26" t="n">
        <v>208407.840000004</v>
      </c>
      <c r="F29" s="26" t="n">
        <v>207574.208640004</v>
      </c>
      <c r="G29" s="27" t="n">
        <v>16847.598772065</v>
      </c>
      <c r="H29" s="27" t="n">
        <v>-41.5148417280007</v>
      </c>
      <c r="I29" s="27" t="n">
        <v>16806.0839303371</v>
      </c>
      <c r="J29" s="27" t="n">
        <v>0</v>
      </c>
      <c r="K29" s="25" t="s">
        <v>320</v>
      </c>
    </row>
    <row r="30" customFormat="false" ht="15.75" hidden="false" customHeight="true" outlineLevel="0" collapsed="false">
      <c r="B30" s="21" t="n">
        <v>2026</v>
      </c>
      <c r="C30" s="21" t="s">
        <v>337</v>
      </c>
      <c r="D30" s="22" t="s">
        <v>326</v>
      </c>
      <c r="E30" s="23" t="n">
        <v>45306.8400000002</v>
      </c>
      <c r="F30" s="23" t="n">
        <v>45125.6126400002</v>
      </c>
      <c r="G30" s="24" t="n">
        <v>3532.20088091554</v>
      </c>
      <c r="H30" s="24" t="n">
        <v>-9.02512252800004</v>
      </c>
      <c r="I30" s="24" t="n">
        <v>3523.17575838754</v>
      </c>
      <c r="J30" s="24" t="n">
        <v>0</v>
      </c>
      <c r="K30" s="21" t="s">
        <v>320</v>
      </c>
    </row>
    <row r="31" customFormat="false" ht="15.75" hidden="false" customHeight="true" outlineLevel="0" collapsed="false">
      <c r="B31" s="25" t="n">
        <v>2026</v>
      </c>
      <c r="C31" s="25" t="s">
        <v>337</v>
      </c>
      <c r="D31" s="22" t="s">
        <v>327</v>
      </c>
      <c r="E31" s="26" t="n">
        <v>0</v>
      </c>
      <c r="F31" s="26" t="n">
        <v>0</v>
      </c>
      <c r="G31" s="27" t="n">
        <v>0</v>
      </c>
      <c r="H31" s="27" t="n">
        <v>0</v>
      </c>
      <c r="I31" s="27" t="n">
        <v>0</v>
      </c>
      <c r="J31" s="27" t="n">
        <v>0</v>
      </c>
      <c r="K31" s="25" t="s">
        <v>320</v>
      </c>
    </row>
    <row r="32" customFormat="false" ht="15.75" hidden="false" customHeight="true" outlineLevel="0" collapsed="false">
      <c r="B32" s="21" t="n">
        <v>2026</v>
      </c>
      <c r="C32" s="21" t="s">
        <v>337</v>
      </c>
      <c r="D32" s="22" t="s">
        <v>328</v>
      </c>
      <c r="E32" s="23" t="n">
        <v>311661.75</v>
      </c>
      <c r="F32" s="23" t="n">
        <v>318829.97025</v>
      </c>
      <c r="G32" s="24" t="n">
        <v>25227.6594578779</v>
      </c>
      <c r="H32" s="24" t="n">
        <v>-63.76599405</v>
      </c>
      <c r="I32" s="24" t="n">
        <v>25163.8934638279</v>
      </c>
      <c r="J32" s="24" t="n">
        <v>0</v>
      </c>
      <c r="K32" s="21" t="s">
        <v>320</v>
      </c>
    </row>
    <row r="33" customFormat="false" ht="15.75" hidden="false" customHeight="true" outlineLevel="0" collapsed="false">
      <c r="B33" s="25" t="n">
        <v>2026</v>
      </c>
      <c r="C33" s="25" t="s">
        <v>337</v>
      </c>
      <c r="D33" s="22" t="s">
        <v>329</v>
      </c>
      <c r="E33" s="26" t="n">
        <v>277671.520000004</v>
      </c>
      <c r="F33" s="26" t="n">
        <v>284057.964960003</v>
      </c>
      <c r="G33" s="27" t="n">
        <v>22556.3686687779</v>
      </c>
      <c r="H33" s="27" t="n">
        <v>-56.8115929920007</v>
      </c>
      <c r="I33" s="27" t="n">
        <v>22499.5570757859</v>
      </c>
      <c r="J33" s="27" t="n">
        <v>0</v>
      </c>
      <c r="K33" s="25" t="s">
        <v>320</v>
      </c>
    </row>
    <row r="34" customFormat="false" ht="15.75" hidden="false" customHeight="true" outlineLevel="0" collapsed="false">
      <c r="B34" s="21" t="n">
        <v>2026</v>
      </c>
      <c r="C34" s="21" t="s">
        <v>337</v>
      </c>
      <c r="D34" s="22" t="s">
        <v>330</v>
      </c>
      <c r="E34" s="23" t="n">
        <v>448145.999999988</v>
      </c>
      <c r="F34" s="23" t="n">
        <v>446353.415999988</v>
      </c>
      <c r="G34" s="24" t="n">
        <v>34543.1260201004</v>
      </c>
      <c r="H34" s="24" t="n">
        <v>-89.2706831999976</v>
      </c>
      <c r="I34" s="24" t="n">
        <v>34453.8553369004</v>
      </c>
      <c r="J34" s="24" t="n">
        <v>0</v>
      </c>
      <c r="K34" s="21" t="s">
        <v>320</v>
      </c>
    </row>
    <row r="35" customFormat="false" ht="15.75" hidden="false" customHeight="true" outlineLevel="0" collapsed="false">
      <c r="B35" s="25" t="n">
        <v>2026</v>
      </c>
      <c r="C35" s="25" t="s">
        <v>337</v>
      </c>
      <c r="D35" s="22" t="s">
        <v>331</v>
      </c>
      <c r="E35" s="26" t="n">
        <v>430929.599999996</v>
      </c>
      <c r="F35" s="26" t="n">
        <v>440840.980799995</v>
      </c>
      <c r="G35" s="27" t="n">
        <v>34400.5401614863</v>
      </c>
      <c r="H35" s="27" t="n">
        <v>-88.1681961599991</v>
      </c>
      <c r="I35" s="27" t="n">
        <v>34312.3719653263</v>
      </c>
      <c r="J35" s="27" t="n">
        <v>0</v>
      </c>
      <c r="K35" s="25" t="s">
        <v>320</v>
      </c>
    </row>
    <row r="36" customFormat="false" ht="15.75" hidden="false" customHeight="true" outlineLevel="0" collapsed="false">
      <c r="B36" s="21" t="n">
        <v>2026</v>
      </c>
      <c r="C36" s="21" t="s">
        <v>337</v>
      </c>
      <c r="D36" s="22" t="s">
        <v>332</v>
      </c>
      <c r="E36" s="23" t="n">
        <v>11697.0420000002</v>
      </c>
      <c r="F36" s="23" t="n">
        <v>11966.0739660002</v>
      </c>
      <c r="G36" s="24" t="n">
        <v>928.293212553207</v>
      </c>
      <c r="H36" s="24" t="n">
        <v>-2.39321479320005</v>
      </c>
      <c r="I36" s="24" t="n">
        <v>925.899997760007</v>
      </c>
      <c r="J36" s="24" t="n">
        <v>0</v>
      </c>
      <c r="K36" s="21" t="s">
        <v>320</v>
      </c>
    </row>
    <row r="37" customFormat="false" ht="15.75" hidden="false" customHeight="true" outlineLevel="0" collapsed="false">
      <c r="B37" s="25" t="n">
        <v>2026</v>
      </c>
      <c r="C37" s="25" t="s">
        <v>337</v>
      </c>
      <c r="D37" s="22" t="s">
        <v>333</v>
      </c>
      <c r="E37" s="26" t="n">
        <v>4130192.11004309</v>
      </c>
      <c r="F37" s="26" t="n">
        <v>4130192.11004309</v>
      </c>
      <c r="G37" s="27" t="n">
        <v>427229.742366253</v>
      </c>
      <c r="H37" s="27" t="n">
        <v>-826.038422008618</v>
      </c>
      <c r="I37" s="27" t="n">
        <v>426403.703944244</v>
      </c>
      <c r="J37" s="27" t="n">
        <v>0</v>
      </c>
      <c r="K37" s="25" t="s">
        <v>334</v>
      </c>
    </row>
    <row r="38" customFormat="false" ht="15.75" hidden="false" customHeight="true" outlineLevel="0" collapsed="false">
      <c r="B38" s="21" t="n">
        <v>2026</v>
      </c>
      <c r="C38" s="21" t="s">
        <v>337</v>
      </c>
      <c r="D38" s="22" t="s">
        <v>335</v>
      </c>
      <c r="E38" s="23" t="n">
        <v>2037279.16016772</v>
      </c>
      <c r="F38" s="23" t="n">
        <v>2037279.16016772</v>
      </c>
      <c r="G38" s="24" t="n">
        <v>217599.319613935</v>
      </c>
      <c r="H38" s="24" t="n">
        <v>-407.455832033544</v>
      </c>
      <c r="I38" s="24" t="n">
        <v>217191.863781901</v>
      </c>
      <c r="J38" s="24" t="n">
        <v>0</v>
      </c>
      <c r="K38" s="21" t="s">
        <v>334</v>
      </c>
    </row>
    <row r="39" customFormat="false" ht="15.75" hidden="false" customHeight="true" outlineLevel="0" collapsed="false">
      <c r="B39" s="25" t="n">
        <v>2026</v>
      </c>
      <c r="C39" s="25" t="s">
        <v>337</v>
      </c>
      <c r="D39" s="22" t="s">
        <v>336</v>
      </c>
      <c r="E39" s="26" t="n">
        <v>4379179.85288061</v>
      </c>
      <c r="F39" s="26" t="n">
        <v>4379179.85288061</v>
      </c>
      <c r="G39" s="27" t="n">
        <v>453202.878322132</v>
      </c>
      <c r="H39" s="27" t="n">
        <v>-875.835970576122</v>
      </c>
      <c r="I39" s="27" t="n">
        <v>452327.042351556</v>
      </c>
      <c r="J39" s="27" t="n">
        <v>0</v>
      </c>
      <c r="K39" s="25" t="s">
        <v>334</v>
      </c>
    </row>
    <row r="40" customFormat="false" ht="15.75" hidden="false" customHeight="true" outlineLevel="0" collapsed="false">
      <c r="B40" s="21" t="n">
        <v>2026</v>
      </c>
      <c r="C40" s="21" t="s">
        <v>338</v>
      </c>
      <c r="D40" s="22" t="s">
        <v>319</v>
      </c>
      <c r="E40" s="23" t="n">
        <v>0</v>
      </c>
      <c r="F40" s="23" t="n">
        <v>0</v>
      </c>
      <c r="G40" s="24" t="n">
        <v>0</v>
      </c>
      <c r="H40" s="24" t="n">
        <v>0</v>
      </c>
      <c r="I40" s="24" t="n">
        <v>0</v>
      </c>
      <c r="J40" s="24" t="n">
        <v>0</v>
      </c>
      <c r="K40" s="21" t="s">
        <v>320</v>
      </c>
    </row>
    <row r="41" customFormat="false" ht="15.75" hidden="false" customHeight="true" outlineLevel="0" collapsed="false">
      <c r="B41" s="25" t="n">
        <v>2026</v>
      </c>
      <c r="C41" s="25" t="s">
        <v>338</v>
      </c>
      <c r="D41" s="22" t="s">
        <v>321</v>
      </c>
      <c r="E41" s="26" t="n">
        <v>0</v>
      </c>
      <c r="F41" s="26" t="n">
        <v>0</v>
      </c>
      <c r="G41" s="27" t="n">
        <v>0</v>
      </c>
      <c r="H41" s="27" t="n">
        <v>0</v>
      </c>
      <c r="I41" s="27" t="n">
        <v>0</v>
      </c>
      <c r="J41" s="27" t="n">
        <v>0</v>
      </c>
      <c r="K41" s="25" t="s">
        <v>320</v>
      </c>
    </row>
    <row r="42" customFormat="false" ht="15.75" hidden="false" customHeight="true" outlineLevel="0" collapsed="false">
      <c r="B42" s="21" t="n">
        <v>2026</v>
      </c>
      <c r="C42" s="21" t="s">
        <v>338</v>
      </c>
      <c r="D42" s="22" t="s">
        <v>322</v>
      </c>
      <c r="E42" s="23" t="n">
        <v>0</v>
      </c>
      <c r="F42" s="23" t="n">
        <v>0</v>
      </c>
      <c r="G42" s="24" t="n">
        <v>0</v>
      </c>
      <c r="H42" s="24" t="n">
        <v>0</v>
      </c>
      <c r="I42" s="24" t="n">
        <v>0</v>
      </c>
      <c r="J42" s="24" t="n">
        <v>0</v>
      </c>
      <c r="K42" s="21" t="s">
        <v>320</v>
      </c>
    </row>
    <row r="43" customFormat="false" ht="15.75" hidden="false" customHeight="true" outlineLevel="0" collapsed="false">
      <c r="B43" s="25" t="n">
        <v>2026</v>
      </c>
      <c r="C43" s="25" t="s">
        <v>338</v>
      </c>
      <c r="D43" s="22" t="s">
        <v>323</v>
      </c>
      <c r="E43" s="26" t="n">
        <v>0</v>
      </c>
      <c r="F43" s="26" t="n">
        <v>0</v>
      </c>
      <c r="G43" s="27" t="n">
        <v>0</v>
      </c>
      <c r="H43" s="27" t="n">
        <v>0</v>
      </c>
      <c r="I43" s="27" t="n">
        <v>0</v>
      </c>
      <c r="J43" s="27" t="n">
        <v>0</v>
      </c>
      <c r="K43" s="25" t="s">
        <v>320</v>
      </c>
    </row>
    <row r="44" customFormat="false" ht="15.75" hidden="false" customHeight="true" outlineLevel="0" collapsed="false">
      <c r="B44" s="21" t="n">
        <v>2026</v>
      </c>
      <c r="C44" s="21" t="s">
        <v>338</v>
      </c>
      <c r="D44" s="22" t="s">
        <v>324</v>
      </c>
      <c r="E44" s="23" t="n">
        <v>0</v>
      </c>
      <c r="F44" s="23" t="n">
        <v>0</v>
      </c>
      <c r="G44" s="24" t="n">
        <v>0</v>
      </c>
      <c r="H44" s="24" t="n">
        <v>0</v>
      </c>
      <c r="I44" s="24" t="n">
        <v>0</v>
      </c>
      <c r="J44" s="24" t="n">
        <v>0</v>
      </c>
      <c r="K44" s="21" t="s">
        <v>320</v>
      </c>
    </row>
    <row r="45" customFormat="false" ht="15.75" hidden="false" customHeight="true" outlineLevel="0" collapsed="false">
      <c r="B45" s="25" t="n">
        <v>2026</v>
      </c>
      <c r="C45" s="25" t="s">
        <v>338</v>
      </c>
      <c r="D45" s="22" t="s">
        <v>325</v>
      </c>
      <c r="E45" s="26" t="n">
        <v>0</v>
      </c>
      <c r="F45" s="26" t="n">
        <v>0</v>
      </c>
      <c r="G45" s="27" t="n">
        <v>0</v>
      </c>
      <c r="H45" s="27" t="n">
        <v>0</v>
      </c>
      <c r="I45" s="27" t="n">
        <v>0</v>
      </c>
      <c r="J45" s="27" t="n">
        <v>0</v>
      </c>
      <c r="K45" s="25" t="s">
        <v>320</v>
      </c>
    </row>
    <row r="46" customFormat="false" ht="15.75" hidden="false" customHeight="true" outlineLevel="0" collapsed="false">
      <c r="B46" s="21" t="n">
        <v>2026</v>
      </c>
      <c r="C46" s="21" t="s">
        <v>338</v>
      </c>
      <c r="D46" s="22" t="s">
        <v>326</v>
      </c>
      <c r="E46" s="23" t="n">
        <v>0</v>
      </c>
      <c r="F46" s="23" t="n">
        <v>0</v>
      </c>
      <c r="G46" s="24" t="n">
        <v>0</v>
      </c>
      <c r="H46" s="24" t="n">
        <v>0</v>
      </c>
      <c r="I46" s="24" t="n">
        <v>0</v>
      </c>
      <c r="J46" s="24" t="n">
        <v>0</v>
      </c>
      <c r="K46" s="21" t="s">
        <v>320</v>
      </c>
    </row>
    <row r="47" customFormat="false" ht="15.75" hidden="false" customHeight="true" outlineLevel="0" collapsed="false">
      <c r="B47" s="25" t="n">
        <v>2026</v>
      </c>
      <c r="C47" s="25" t="s">
        <v>338</v>
      </c>
      <c r="D47" s="22" t="s">
        <v>327</v>
      </c>
      <c r="E47" s="26" t="n">
        <v>0</v>
      </c>
      <c r="F47" s="26" t="n">
        <v>0</v>
      </c>
      <c r="G47" s="27" t="n">
        <v>0</v>
      </c>
      <c r="H47" s="27" t="n">
        <v>0</v>
      </c>
      <c r="I47" s="27" t="n">
        <v>0</v>
      </c>
      <c r="J47" s="27" t="n">
        <v>0</v>
      </c>
      <c r="K47" s="25" t="s">
        <v>320</v>
      </c>
    </row>
    <row r="48" customFormat="false" ht="15.75" hidden="false" customHeight="true" outlineLevel="0" collapsed="false">
      <c r="B48" s="21" t="n">
        <v>2026</v>
      </c>
      <c r="C48" s="21" t="s">
        <v>338</v>
      </c>
      <c r="D48" s="22" t="s">
        <v>328</v>
      </c>
      <c r="E48" s="23" t="n">
        <v>0</v>
      </c>
      <c r="F48" s="23" t="n">
        <v>0</v>
      </c>
      <c r="G48" s="24" t="n">
        <v>0</v>
      </c>
      <c r="H48" s="24" t="n">
        <v>0</v>
      </c>
      <c r="I48" s="24" t="n">
        <v>0</v>
      </c>
      <c r="J48" s="24" t="n">
        <v>0</v>
      </c>
      <c r="K48" s="21" t="s">
        <v>320</v>
      </c>
    </row>
    <row r="49" customFormat="false" ht="15.75" hidden="false" customHeight="true" outlineLevel="0" collapsed="false">
      <c r="B49" s="25" t="n">
        <v>2026</v>
      </c>
      <c r="C49" s="25" t="s">
        <v>338</v>
      </c>
      <c r="D49" s="22" t="s">
        <v>329</v>
      </c>
      <c r="E49" s="26" t="n">
        <v>0</v>
      </c>
      <c r="F49" s="26" t="n">
        <v>0</v>
      </c>
      <c r="G49" s="27" t="n">
        <v>0</v>
      </c>
      <c r="H49" s="27" t="n">
        <v>0</v>
      </c>
      <c r="I49" s="27" t="n">
        <v>0</v>
      </c>
      <c r="J49" s="27" t="n">
        <v>0</v>
      </c>
      <c r="K49" s="25" t="s">
        <v>320</v>
      </c>
    </row>
    <row r="50" customFormat="false" ht="15.75" hidden="false" customHeight="true" outlineLevel="0" collapsed="false">
      <c r="B50" s="21" t="n">
        <v>2026</v>
      </c>
      <c r="C50" s="21" t="s">
        <v>338</v>
      </c>
      <c r="D50" s="22" t="s">
        <v>330</v>
      </c>
      <c r="E50" s="23" t="n">
        <v>0</v>
      </c>
      <c r="F50" s="23" t="n">
        <v>0</v>
      </c>
      <c r="G50" s="24" t="n">
        <v>0</v>
      </c>
      <c r="H50" s="24" t="n">
        <v>0</v>
      </c>
      <c r="I50" s="24" t="n">
        <v>0</v>
      </c>
      <c r="J50" s="24" t="n">
        <v>0</v>
      </c>
      <c r="K50" s="21" t="s">
        <v>320</v>
      </c>
    </row>
    <row r="51" customFormat="false" ht="15.75" hidden="false" customHeight="true" outlineLevel="0" collapsed="false">
      <c r="B51" s="25" t="n">
        <v>2026</v>
      </c>
      <c r="C51" s="25" t="s">
        <v>338</v>
      </c>
      <c r="D51" s="22" t="s">
        <v>331</v>
      </c>
      <c r="E51" s="26" t="n">
        <v>0</v>
      </c>
      <c r="F51" s="26" t="n">
        <v>0</v>
      </c>
      <c r="G51" s="27" t="n">
        <v>0</v>
      </c>
      <c r="H51" s="27" t="n">
        <v>0</v>
      </c>
      <c r="I51" s="27" t="n">
        <v>0</v>
      </c>
      <c r="J51" s="27" t="n">
        <v>0</v>
      </c>
      <c r="K51" s="25" t="s">
        <v>320</v>
      </c>
    </row>
    <row r="52" customFormat="false" ht="15.75" hidden="false" customHeight="true" outlineLevel="0" collapsed="false">
      <c r="B52" s="21" t="n">
        <v>2026</v>
      </c>
      <c r="C52" s="21" t="s">
        <v>338</v>
      </c>
      <c r="D52" s="22" t="s">
        <v>332</v>
      </c>
      <c r="E52" s="23" t="n">
        <v>0</v>
      </c>
      <c r="F52" s="23" t="n">
        <v>0</v>
      </c>
      <c r="G52" s="24" t="n">
        <v>0</v>
      </c>
      <c r="H52" s="24" t="n">
        <v>0</v>
      </c>
      <c r="I52" s="24" t="n">
        <v>0</v>
      </c>
      <c r="J52" s="24" t="n">
        <v>0</v>
      </c>
      <c r="K52" s="21" t="s">
        <v>320</v>
      </c>
    </row>
    <row r="53" customFormat="false" ht="15.75" hidden="false" customHeight="true" outlineLevel="0" collapsed="false">
      <c r="B53" s="25" t="n">
        <v>2026</v>
      </c>
      <c r="C53" s="25" t="s">
        <v>338</v>
      </c>
      <c r="D53" s="22" t="s">
        <v>333</v>
      </c>
      <c r="E53" s="26" t="n">
        <v>0</v>
      </c>
      <c r="F53" s="26" t="n">
        <v>0</v>
      </c>
      <c r="G53" s="27" t="n">
        <v>0</v>
      </c>
      <c r="H53" s="27" t="n">
        <v>0</v>
      </c>
      <c r="I53" s="27" t="n">
        <v>0</v>
      </c>
      <c r="J53" s="27" t="n">
        <v>0</v>
      </c>
      <c r="K53" s="25" t="s">
        <v>334</v>
      </c>
    </row>
    <row r="54" customFormat="false" ht="15.75" hidden="false" customHeight="true" outlineLevel="0" collapsed="false">
      <c r="B54" s="21" t="n">
        <v>2026</v>
      </c>
      <c r="C54" s="21" t="s">
        <v>338</v>
      </c>
      <c r="D54" s="22" t="s">
        <v>335</v>
      </c>
      <c r="E54" s="23" t="n">
        <v>922.949397590387</v>
      </c>
      <c r="F54" s="23" t="n">
        <v>944.177233734966</v>
      </c>
      <c r="G54" s="24" t="n">
        <v>114.698650354124</v>
      </c>
      <c r="H54" s="24" t="n">
        <v>-0.188835446746993</v>
      </c>
      <c r="I54" s="24" t="n">
        <v>114.509814907377</v>
      </c>
      <c r="J54" s="24" t="n">
        <v>0</v>
      </c>
      <c r="K54" s="21" t="s">
        <v>334</v>
      </c>
    </row>
    <row r="55" customFormat="false" ht="15.75" hidden="false" customHeight="true" outlineLevel="0" collapsed="false">
      <c r="B55" s="25" t="n">
        <v>2026</v>
      </c>
      <c r="C55" s="25" t="s">
        <v>338</v>
      </c>
      <c r="D55" s="22" t="s">
        <v>336</v>
      </c>
      <c r="E55" s="26" t="n">
        <v>348.540819228402</v>
      </c>
      <c r="F55" s="26" t="n">
        <v>356.557258070656</v>
      </c>
      <c r="G55" s="27" t="n">
        <v>43.3145757104232</v>
      </c>
      <c r="H55" s="27" t="n">
        <v>-0.0713114516141311</v>
      </c>
      <c r="I55" s="27" t="n">
        <v>43.2432642588091</v>
      </c>
      <c r="J55" s="27" t="n">
        <v>0</v>
      </c>
      <c r="K55" s="25" t="s">
        <v>334</v>
      </c>
    </row>
    <row r="56" customFormat="false" ht="15" hidden="false" customHeight="true" outlineLevel="0" collapsed="false">
      <c r="B56" s="28" t="s">
        <v>339</v>
      </c>
      <c r="C56" s="28"/>
      <c r="D56" s="28"/>
      <c r="E56" s="29" t="n">
        <f aca="false">SUM(F8:F55)</f>
        <v>28924178.3519251</v>
      </c>
      <c r="F56" s="29" t="n">
        <f aca="false">SUM(G8:G55)</f>
        <v>3133013.13684192</v>
      </c>
      <c r="G56" s="29" t="n">
        <f aca="false">SUM(H8:H55)</f>
        <v>-5784.83567038502</v>
      </c>
      <c r="H56" s="29" t="n">
        <f aca="false">SUM(I8:I55)</f>
        <v>3127228.30117153</v>
      </c>
      <c r="I56" s="29" t="n">
        <f aca="false">SUM(J8:J55)</f>
        <v>0</v>
      </c>
    </row>
  </sheetData>
  <mergeCells count="4">
    <mergeCell ref="B1:J3"/>
    <mergeCell ref="B4:J4"/>
    <mergeCell ref="B5:J5"/>
    <mergeCell ref="B56:D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B1:W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"/>
    <col collapsed="false" customWidth="true" hidden="false" outlineLevel="0" max="3" min="3" style="1" width="26"/>
    <col collapsed="false" customWidth="true" hidden="false" outlineLevel="0" max="5" min="4" style="1" width="14"/>
    <col collapsed="false" customWidth="true" hidden="false" outlineLevel="0" max="7" min="6" style="1" width="18"/>
    <col collapsed="false" customWidth="true" hidden="false" outlineLevel="0" max="9" min="8" style="1" width="12"/>
    <col collapsed="false" customWidth="true" hidden="false" outlineLevel="0" max="12" min="10" style="1" width="14"/>
    <col collapsed="false" customWidth="true" hidden="false" outlineLevel="0" max="16" min="13" style="1" width="16"/>
    <col collapsed="false" customWidth="true" hidden="false" outlineLevel="0" max="17" min="17" style="1" width="14"/>
    <col collapsed="false" customWidth="true" hidden="false" outlineLevel="0" max="19" min="18" style="1" width="16"/>
    <col collapsed="false" customWidth="true" hidden="false" outlineLevel="0" max="20" min="20" style="1" width="14"/>
    <col collapsed="false" customWidth="true" hidden="false" outlineLevel="0" max="22" min="22" style="1" width="14"/>
    <col collapsed="false" customWidth="true" hidden="false" outlineLevel="0" max="23" min="23" style="1" width="12"/>
  </cols>
  <sheetData>
    <row r="1" customFormat="false" ht="15" hidden="false" customHeight="true" outlineLevel="0" collapsed="false">
      <c r="B1" s="17" t="s">
        <v>340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customFormat="false" ht="15" hidden="false" customHeight="true" outlineLevel="0" collapsed="false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customFormat="false" ht="15" hidden="false" customHeight="true" outlineLevel="0" collapsed="false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customFormat="false" ht="15" hidden="false" customHeight="true" outlineLevel="0" collapsed="false">
      <c r="B4" s="18" t="s">
        <v>341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6" customFormat="false" ht="15" hidden="false" customHeight="true" outlineLevel="0" collapsed="false">
      <c r="B6" s="30" t="s">
        <v>342</v>
      </c>
      <c r="C6" s="30"/>
      <c r="D6" s="30"/>
      <c r="E6" s="30"/>
      <c r="F6" s="30"/>
      <c r="G6" s="30"/>
      <c r="H6" s="30"/>
      <c r="I6" s="30"/>
      <c r="J6" s="30"/>
      <c r="K6" s="31" t="s">
        <v>343</v>
      </c>
      <c r="L6" s="31"/>
      <c r="M6" s="31"/>
      <c r="N6" s="31"/>
      <c r="O6" s="32"/>
      <c r="P6" s="32"/>
      <c r="Q6" s="32"/>
      <c r="R6" s="32"/>
      <c r="S6" s="32"/>
      <c r="T6" s="32"/>
      <c r="U6" s="33" t="s">
        <v>344</v>
      </c>
      <c r="V6" s="32"/>
      <c r="W6" s="32"/>
    </row>
    <row r="7" customFormat="false" ht="30" hidden="false" customHeight="true" outlineLevel="0" collapsed="false">
      <c r="B7" s="20" t="s">
        <v>345</v>
      </c>
      <c r="C7" s="20" t="s">
        <v>310</v>
      </c>
      <c r="D7" s="20" t="s">
        <v>317</v>
      </c>
      <c r="E7" s="20" t="s">
        <v>346</v>
      </c>
      <c r="F7" s="20" t="s">
        <v>347</v>
      </c>
      <c r="G7" s="20" t="s">
        <v>348</v>
      </c>
      <c r="H7" s="20" t="s">
        <v>349</v>
      </c>
      <c r="I7" s="20" t="s">
        <v>350</v>
      </c>
      <c r="J7" s="20" t="s">
        <v>351</v>
      </c>
      <c r="K7" s="34" t="s">
        <v>352</v>
      </c>
      <c r="L7" s="34" t="s">
        <v>353</v>
      </c>
      <c r="M7" s="34" t="s">
        <v>354</v>
      </c>
      <c r="N7" s="35" t="s">
        <v>355</v>
      </c>
      <c r="O7" s="35" t="s">
        <v>356</v>
      </c>
      <c r="P7" s="35" t="s">
        <v>357</v>
      </c>
      <c r="Q7" s="35" t="s">
        <v>358</v>
      </c>
      <c r="R7" s="35" t="s">
        <v>359</v>
      </c>
      <c r="S7" s="35" t="s">
        <v>360</v>
      </c>
      <c r="T7" s="35" t="s">
        <v>361</v>
      </c>
      <c r="U7" s="36" t="s">
        <v>362</v>
      </c>
      <c r="V7" s="37" t="s">
        <v>363</v>
      </c>
    </row>
    <row r="8" customFormat="false" ht="16.5" hidden="false" customHeight="true" outlineLevel="0" collapsed="false">
      <c r="B8" s="38" t="n">
        <v>1</v>
      </c>
      <c r="C8" s="22" t="s">
        <v>336</v>
      </c>
      <c r="D8" s="21" t="s">
        <v>334</v>
      </c>
      <c r="E8" s="21" t="s">
        <v>364</v>
      </c>
      <c r="F8" s="21" t="s">
        <v>365</v>
      </c>
      <c r="G8" s="21" t="s">
        <v>366</v>
      </c>
      <c r="H8" s="24" t="n">
        <v>-1.36</v>
      </c>
      <c r="I8" s="21" t="s">
        <v>367</v>
      </c>
      <c r="J8" s="21"/>
      <c r="K8" s="39"/>
      <c r="L8" s="39"/>
      <c r="M8" s="39"/>
      <c r="N8" s="23" t="n">
        <f aca="false">IFERROR(SUMIFS(Fonte_Dati!E:E,Fonte_Dati!D:D,C8)/1000,0)</f>
        <v>9096.22360722042</v>
      </c>
      <c r="O8" s="23" t="n">
        <f aca="false">IFERROR(SUMIFS(Fonte_Dati!F:F,Fonte_Dati!D:D,C8)/1000,0)</f>
        <v>9096.23162365926</v>
      </c>
      <c r="P8" s="24" t="n">
        <f aca="false">IFERROR(SUMIFS(Fonte_Dati!G:G,Fonte_Dati!D:D,C8),0)</f>
        <v>1042617.33222558</v>
      </c>
      <c r="Q8" s="24" t="n">
        <f aca="false">IFERROR(SUMIFS(Fonte_Dati!H:H,Fonte_Dati!D:D,C8),0)</f>
        <v>-1819.24632473185</v>
      </c>
      <c r="R8" s="40" t="n">
        <f aca="false">IFERROR(SUMIFS(Fonte_Dati!I:I,Fonte_Dati!D:D,C8),0)</f>
        <v>1040798.08590084</v>
      </c>
      <c r="S8" s="24" t="n">
        <f aca="false">IFERROR(R8/O8,0)</f>
        <v>114.420798519876</v>
      </c>
      <c r="T8" s="24" t="n">
        <f aca="false">IFERROR(R8*0.08,0)</f>
        <v>83263.8468720675</v>
      </c>
      <c r="U8" s="41" t="str">
        <f aca="false">IFERROR(VLOOKUP(C8,Irraggiamento_PVGIS!C50:H65,6,0),"")</f>
        <v/>
      </c>
      <c r="V8" s="42" t="str">
        <f aca="false">IFERROR((N8*1000)/(U8*K8),"")</f>
        <v/>
      </c>
    </row>
    <row r="9" customFormat="false" ht="16.5" hidden="false" customHeight="true" outlineLevel="0" collapsed="false">
      <c r="B9" s="38" t="n">
        <v>2</v>
      </c>
      <c r="C9" s="22" t="s">
        <v>333</v>
      </c>
      <c r="D9" s="25" t="s">
        <v>334</v>
      </c>
      <c r="E9" s="25" t="s">
        <v>368</v>
      </c>
      <c r="F9" s="25" t="s">
        <v>365</v>
      </c>
      <c r="G9" s="25" t="s">
        <v>369</v>
      </c>
      <c r="H9" s="27" t="n">
        <v>-1.86</v>
      </c>
      <c r="I9" s="25" t="s">
        <v>367</v>
      </c>
      <c r="J9" s="25"/>
      <c r="K9" s="39"/>
      <c r="L9" s="39"/>
      <c r="M9" s="39"/>
      <c r="N9" s="26" t="n">
        <f aca="false">IFERROR(SUMIFS(Fonte_Dati!E:E,Fonte_Dati!D:D,C9)/1000,0)</f>
        <v>8107.31482333447</v>
      </c>
      <c r="O9" s="26" t="n">
        <f aca="false">IFERROR(SUMIFS(Fonte_Dati!F:F,Fonte_Dati!D:D,C9)/1000,0)</f>
        <v>8107.31482333447</v>
      </c>
      <c r="P9" s="27" t="n">
        <f aca="false">IFERROR(SUMIFS(Fonte_Dati!G:G,Fonte_Dati!D:D,C9),0)</f>
        <v>908432.263642457</v>
      </c>
      <c r="Q9" s="27" t="n">
        <f aca="false">IFERROR(SUMIFS(Fonte_Dati!H:H,Fonte_Dati!D:D,C9),0)</f>
        <v>-1621.46296466689</v>
      </c>
      <c r="R9" s="43" t="n">
        <f aca="false">IFERROR(SUMIFS(Fonte_Dati!I:I,Fonte_Dati!D:D,C9),0)</f>
        <v>906810.800677789</v>
      </c>
      <c r="S9" s="27" t="n">
        <f aca="false">IFERROR(R9/O9,0)</f>
        <v>111.85094207367</v>
      </c>
      <c r="T9" s="27" t="n">
        <f aca="false">IFERROR(R9*0.08,0)</f>
        <v>72544.8640542231</v>
      </c>
      <c r="U9" s="44" t="str">
        <f aca="false">IFERROR(VLOOKUP(C9,Irraggiamento_PVGIS!C50:H65,6,0),"")</f>
        <v/>
      </c>
      <c r="V9" s="45" t="str">
        <f aca="false">IFERROR((N9*1000)/(U9*K9),"")</f>
        <v/>
      </c>
    </row>
    <row r="10" customFormat="false" ht="16.5" hidden="false" customHeight="true" outlineLevel="0" collapsed="false">
      <c r="B10" s="38" t="n">
        <v>3</v>
      </c>
      <c r="C10" s="22" t="s">
        <v>335</v>
      </c>
      <c r="D10" s="21" t="s">
        <v>334</v>
      </c>
      <c r="E10" s="21" t="s">
        <v>364</v>
      </c>
      <c r="F10" s="21" t="s">
        <v>365</v>
      </c>
      <c r="G10" s="21" t="s">
        <v>370</v>
      </c>
      <c r="H10" s="24" t="n">
        <v>-1.36</v>
      </c>
      <c r="I10" s="21" t="s">
        <v>367</v>
      </c>
      <c r="J10" s="21"/>
      <c r="K10" s="39"/>
      <c r="L10" s="39"/>
      <c r="M10" s="39"/>
      <c r="N10" s="23" t="n">
        <f aca="false">IFERROR(SUMIFS(Fonte_Dati!E:E,Fonte_Dati!D:D,C10)/1000,0)</f>
        <v>3945.05626667521</v>
      </c>
      <c r="O10" s="23" t="n">
        <f aca="false">IFERROR(SUMIFS(Fonte_Dati!F:F,Fonte_Dati!D:D,C10)/1000,0)</f>
        <v>3945.07749451136</v>
      </c>
      <c r="P10" s="24" t="n">
        <f aca="false">IFERROR(SUMIFS(Fonte_Dati!G:G,Fonte_Dati!D:D,C10),0)</f>
        <v>445055.513225028</v>
      </c>
      <c r="Q10" s="24" t="n">
        <f aca="false">IFERROR(SUMIFS(Fonte_Dati!H:H,Fonte_Dati!D:D,C10),0)</f>
        <v>-789.015498902271</v>
      </c>
      <c r="R10" s="40" t="n">
        <f aca="false">IFERROR(SUMIFS(Fonte_Dati!I:I,Fonte_Dati!D:D,C10),0)</f>
        <v>444266.497726125</v>
      </c>
      <c r="S10" s="24" t="n">
        <f aca="false">IFERROR(R10/O10,0)</f>
        <v>112.612869669662</v>
      </c>
      <c r="T10" s="24" t="n">
        <f aca="false">IFERROR(R10*0.08,0)</f>
        <v>35541.31981809</v>
      </c>
      <c r="U10" s="41" t="str">
        <f aca="false">IFERROR(VLOOKUP(C10,Irraggiamento_PVGIS!C50:H65,6,0),"")</f>
        <v/>
      </c>
      <c r="V10" s="42" t="str">
        <f aca="false">IFERROR((N10*1000)/(U10*K10),"")</f>
        <v/>
      </c>
    </row>
    <row r="11" customFormat="false" ht="16.5" hidden="false" customHeight="true" outlineLevel="0" collapsed="false">
      <c r="B11" s="38" t="n">
        <v>4</v>
      </c>
      <c r="C11" s="22" t="s">
        <v>323</v>
      </c>
      <c r="D11" s="25" t="s">
        <v>320</v>
      </c>
      <c r="E11" s="25" t="s">
        <v>371</v>
      </c>
      <c r="F11" s="25" t="s">
        <v>372</v>
      </c>
      <c r="G11" s="25"/>
      <c r="H11" s="27" t="n">
        <v>-0.2</v>
      </c>
      <c r="I11" s="25" t="s">
        <v>367</v>
      </c>
      <c r="J11" s="25"/>
      <c r="K11" s="39"/>
      <c r="L11" s="39"/>
      <c r="M11" s="39"/>
      <c r="N11" s="26" t="n">
        <f aca="false">IFERROR(SUMIFS(Fonte_Dati!E:E,Fonte_Dati!D:D,C11)/1000,0)</f>
        <v>1544.21248</v>
      </c>
      <c r="O11" s="26" t="n">
        <f aca="false">IFERROR(SUMIFS(Fonte_Dati!F:F,Fonte_Dati!D:D,C11)/1000,0)</f>
        <v>1579.72936704</v>
      </c>
      <c r="P11" s="27" t="n">
        <f aca="false">IFERROR(SUMIFS(Fonte_Dati!G:G,Fonte_Dati!D:D,C11),0)</f>
        <v>150406.674613054</v>
      </c>
      <c r="Q11" s="27" t="n">
        <f aca="false">IFERROR(SUMIFS(Fonte_Dati!H:H,Fonte_Dati!D:D,C11),0)</f>
        <v>-315.945873408</v>
      </c>
      <c r="R11" s="43" t="n">
        <f aca="false">IFERROR(SUMIFS(Fonte_Dati!I:I,Fonte_Dati!D:D,C11),0)</f>
        <v>150090.728739646</v>
      </c>
      <c r="S11" s="27" t="n">
        <f aca="false">IFERROR(R11/O11,0)</f>
        <v>95.0104061310683</v>
      </c>
      <c r="T11" s="27" t="n">
        <f aca="false">IFERROR(R11*0.08,0)</f>
        <v>12007.2582991717</v>
      </c>
      <c r="U11" s="44" t="n">
        <f aca="false">IFERROR(VLOOKUP(C11,Irraggiamento_PVGIS!C50:H65,6,0),"")</f>
        <v>0</v>
      </c>
      <c r="V11" s="45" t="str">
        <f aca="false">IFERROR((N11*1000)/(U11*K11),"")</f>
        <v/>
      </c>
    </row>
    <row r="12" customFormat="false" ht="16.5" hidden="false" customHeight="true" outlineLevel="0" collapsed="false">
      <c r="B12" s="38" t="n">
        <v>5</v>
      </c>
      <c r="C12" s="22" t="s">
        <v>322</v>
      </c>
      <c r="D12" s="21" t="s">
        <v>320</v>
      </c>
      <c r="E12" s="21" t="s">
        <v>371</v>
      </c>
      <c r="F12" s="21" t="s">
        <v>373</v>
      </c>
      <c r="G12" s="21"/>
      <c r="H12" s="24" t="n">
        <v>-0.2</v>
      </c>
      <c r="I12" s="21" t="s">
        <v>367</v>
      </c>
      <c r="J12" s="21"/>
      <c r="K12" s="39"/>
      <c r="L12" s="39"/>
      <c r="M12" s="39"/>
      <c r="N12" s="23" t="n">
        <f aca="false">IFERROR(SUMIFS(Fonte_Dati!E:E,Fonte_Dati!D:D,C12)/1000,0)</f>
        <v>1503.9636</v>
      </c>
      <c r="O12" s="23" t="n">
        <f aca="false">IFERROR(SUMIFS(Fonte_Dati!F:F,Fonte_Dati!D:D,C12)/1000,0)</f>
        <v>1538.5547628</v>
      </c>
      <c r="P12" s="24" t="n">
        <f aca="false">IFERROR(SUMIFS(Fonte_Dati!G:G,Fonte_Dati!D:D,C12),0)</f>
        <v>148356.710009421</v>
      </c>
      <c r="Q12" s="24" t="n">
        <f aca="false">IFERROR(SUMIFS(Fonte_Dati!H:H,Fonte_Dati!D:D,C12),0)</f>
        <v>-307.71095256</v>
      </c>
      <c r="R12" s="40" t="n">
        <f aca="false">IFERROR(SUMIFS(Fonte_Dati!I:I,Fonte_Dati!D:D,C12),0)</f>
        <v>148048.999056861</v>
      </c>
      <c r="S12" s="24" t="n">
        <f aca="false">IFERROR(R12/O12,0)</f>
        <v>96.2260184924635</v>
      </c>
      <c r="T12" s="24" t="n">
        <f aca="false">IFERROR(R12*0.08,0)</f>
        <v>11843.9199245488</v>
      </c>
      <c r="U12" s="41" t="n">
        <f aca="false">IFERROR(VLOOKUP(C12,Irraggiamento_PVGIS!C50:H65,6,0),"")</f>
        <v>0</v>
      </c>
      <c r="V12" s="42" t="str">
        <f aca="false">IFERROR((N12*1000)/(U12*K12),"")</f>
        <v/>
      </c>
    </row>
    <row r="13" customFormat="false" ht="16.5" hidden="false" customHeight="true" outlineLevel="0" collapsed="false">
      <c r="B13" s="38" t="n">
        <v>6</v>
      </c>
      <c r="C13" s="22" t="s">
        <v>319</v>
      </c>
      <c r="D13" s="25" t="s">
        <v>320</v>
      </c>
      <c r="E13" s="25" t="s">
        <v>364</v>
      </c>
      <c r="F13" s="25" t="s">
        <v>374</v>
      </c>
      <c r="G13" s="25" t="s">
        <v>375</v>
      </c>
      <c r="H13" s="27" t="n">
        <v>-0.2</v>
      </c>
      <c r="I13" s="25" t="s">
        <v>367</v>
      </c>
      <c r="J13" s="25"/>
      <c r="K13" s="39"/>
      <c r="L13" s="39"/>
      <c r="M13" s="39"/>
      <c r="N13" s="26" t="n">
        <f aca="false">IFERROR(SUMIFS(Fonte_Dati!E:E,Fonte_Dati!D:D,C13)/1000,0)</f>
        <v>1146.88848000001</v>
      </c>
      <c r="O13" s="26" t="n">
        <f aca="false">IFERROR(SUMIFS(Fonte_Dati!F:F,Fonte_Dati!D:D,C13)/1000,0)</f>
        <v>1142.30092608001</v>
      </c>
      <c r="P13" s="27" t="n">
        <f aca="false">IFERROR(SUMIFS(Fonte_Dati!G:G,Fonte_Dati!D:D,C13),0)</f>
        <v>103510.598527708</v>
      </c>
      <c r="Q13" s="27" t="n">
        <f aca="false">IFERROR(SUMIFS(Fonte_Dati!H:H,Fonte_Dati!D:D,C13),0)</f>
        <v>-228.460185216001</v>
      </c>
      <c r="R13" s="43" t="n">
        <f aca="false">IFERROR(SUMIFS(Fonte_Dati!I:I,Fonte_Dati!D:D,C13),0)</f>
        <v>103282.138342492</v>
      </c>
      <c r="S13" s="27" t="n">
        <f aca="false">IFERROR(R13/O13,0)</f>
        <v>90.4158755232055</v>
      </c>
      <c r="T13" s="27" t="n">
        <f aca="false">IFERROR(R13*0.08,0)</f>
        <v>8262.57106739937</v>
      </c>
      <c r="U13" s="44" t="n">
        <f aca="false">IFERROR(VLOOKUP(C13,Irraggiamento_PVGIS!C50:H65,6,0),"")</f>
        <v>0</v>
      </c>
      <c r="V13" s="45" t="str">
        <f aca="false">IFERROR((N13*1000)/(U13*K13),"")</f>
        <v/>
      </c>
    </row>
    <row r="14" customFormat="false" ht="16.5" hidden="false" customHeight="true" outlineLevel="0" collapsed="false">
      <c r="B14" s="38" t="n">
        <v>7</v>
      </c>
      <c r="C14" s="22" t="s">
        <v>331</v>
      </c>
      <c r="D14" s="21" t="s">
        <v>320</v>
      </c>
      <c r="E14" s="21" t="s">
        <v>364</v>
      </c>
      <c r="F14" s="21" t="s">
        <v>376</v>
      </c>
      <c r="G14" s="21" t="s">
        <v>377</v>
      </c>
      <c r="H14" s="24" t="n">
        <v>-0.2</v>
      </c>
      <c r="I14" s="21" t="s">
        <v>367</v>
      </c>
      <c r="J14" s="21"/>
      <c r="K14" s="39"/>
      <c r="L14" s="39"/>
      <c r="M14" s="39"/>
      <c r="N14" s="23" t="n">
        <f aca="false">IFERROR(SUMIFS(Fonte_Dati!E:E,Fonte_Dati!D:D,C14)/1000,0)</f>
        <v>787.129200000003</v>
      </c>
      <c r="O14" s="23" t="n">
        <f aca="false">IFERROR(SUMIFS(Fonte_Dati!F:F,Fonte_Dati!D:D,C14)/1000,0)</f>
        <v>805.233171600002</v>
      </c>
      <c r="P14" s="24" t="n">
        <f aca="false">IFERROR(SUMIFS(Fonte_Dati!G:G,Fonte_Dati!D:D,C14),0)</f>
        <v>77680.7314660169</v>
      </c>
      <c r="Q14" s="24" t="n">
        <f aca="false">IFERROR(SUMIFS(Fonte_Dati!H:H,Fonte_Dati!D:D,C14),0)</f>
        <v>-161.046634320001</v>
      </c>
      <c r="R14" s="40" t="n">
        <f aca="false">IFERROR(SUMIFS(Fonte_Dati!I:I,Fonte_Dati!D:D,C14),0)</f>
        <v>77519.6848316969</v>
      </c>
      <c r="S14" s="24" t="n">
        <f aca="false">IFERROR(R14/O14,0)</f>
        <v>96.269860166919</v>
      </c>
      <c r="T14" s="24" t="n">
        <f aca="false">IFERROR(R14*0.08,0)</f>
        <v>6201.57478653575</v>
      </c>
      <c r="U14" s="41" t="n">
        <f aca="false">IFERROR(VLOOKUP(C14,Irraggiamento_PVGIS!C50:H65,6,0),"")</f>
        <v>0</v>
      </c>
      <c r="V14" s="42" t="str">
        <f aca="false">IFERROR((N14*1000)/(U14*K14),"")</f>
        <v/>
      </c>
    </row>
    <row r="15" customFormat="false" ht="16.5" hidden="false" customHeight="true" outlineLevel="0" collapsed="false">
      <c r="B15" s="38" t="n">
        <v>8</v>
      </c>
      <c r="C15" s="22" t="s">
        <v>330</v>
      </c>
      <c r="D15" s="25" t="s">
        <v>320</v>
      </c>
      <c r="E15" s="25" t="s">
        <v>364</v>
      </c>
      <c r="F15" s="25" t="s">
        <v>378</v>
      </c>
      <c r="G15" s="25" t="s">
        <v>379</v>
      </c>
      <c r="H15" s="27" t="n">
        <v>-0.2</v>
      </c>
      <c r="I15" s="25" t="s">
        <v>367</v>
      </c>
      <c r="J15" s="25"/>
      <c r="K15" s="39"/>
      <c r="L15" s="39"/>
      <c r="M15" s="39"/>
      <c r="N15" s="26" t="n">
        <f aca="false">IFERROR(SUMIFS(Fonte_Dati!E:E,Fonte_Dati!D:D,C15)/1000,0)</f>
        <v>801.507599999995</v>
      </c>
      <c r="O15" s="26" t="n">
        <f aca="false">IFERROR(SUMIFS(Fonte_Dati!F:F,Fonte_Dati!D:D,C15)/1000,0)</f>
        <v>798.301569599996</v>
      </c>
      <c r="P15" s="27" t="n">
        <f aca="false">IFERROR(SUMIFS(Fonte_Dati!G:G,Fonte_Dati!D:D,C15),0)</f>
        <v>76124.4357516161</v>
      </c>
      <c r="Q15" s="27" t="n">
        <f aca="false">IFERROR(SUMIFS(Fonte_Dati!H:H,Fonte_Dati!D:D,C15),0)</f>
        <v>-159.660313919999</v>
      </c>
      <c r="R15" s="43" t="n">
        <f aca="false">IFERROR(SUMIFS(Fonte_Dati!I:I,Fonte_Dati!D:D,C15),0)</f>
        <v>75964.7754376961</v>
      </c>
      <c r="S15" s="27" t="n">
        <f aca="false">IFERROR(R15/O15,0)</f>
        <v>95.1579933329703</v>
      </c>
      <c r="T15" s="27" t="n">
        <f aca="false">IFERROR(R15*0.08,0)</f>
        <v>6077.18203501569</v>
      </c>
      <c r="U15" s="44" t="n">
        <f aca="false">IFERROR(VLOOKUP(C15,Irraggiamento_PVGIS!C50:H65,6,0),"")</f>
        <v>0</v>
      </c>
      <c r="V15" s="45" t="str">
        <f aca="false">IFERROR((N15*1000)/(U15*K15),"")</f>
        <v/>
      </c>
    </row>
    <row r="16" customFormat="false" ht="16.5" hidden="false" customHeight="true" outlineLevel="0" collapsed="false">
      <c r="B16" s="38" t="n">
        <v>9</v>
      </c>
      <c r="C16" s="22" t="s">
        <v>328</v>
      </c>
      <c r="D16" s="21" t="s">
        <v>320</v>
      </c>
      <c r="E16" s="21" t="s">
        <v>371</v>
      </c>
      <c r="F16" s="21" t="s">
        <v>372</v>
      </c>
      <c r="G16" s="21"/>
      <c r="H16" s="24" t="n">
        <v>-0.2</v>
      </c>
      <c r="I16" s="21" t="s">
        <v>367</v>
      </c>
      <c r="J16" s="21"/>
      <c r="K16" s="39"/>
      <c r="L16" s="39"/>
      <c r="M16" s="39"/>
      <c r="N16" s="23" t="n">
        <f aca="false">IFERROR(SUMIFS(Fonte_Dati!E:E,Fonte_Dati!D:D,C16)/1000,0)</f>
        <v>521.4165</v>
      </c>
      <c r="O16" s="23" t="n">
        <f aca="false">IFERROR(SUMIFS(Fonte_Dati!F:F,Fonte_Dati!D:D,C16)/1000,0)</f>
        <v>533.4090795</v>
      </c>
      <c r="P16" s="24" t="n">
        <f aca="false">IFERROR(SUMIFS(Fonte_Dati!G:G,Fonte_Dati!D:D,C16),0)</f>
        <v>50858.7870683564</v>
      </c>
      <c r="Q16" s="24" t="n">
        <f aca="false">IFERROR(SUMIFS(Fonte_Dati!H:H,Fonte_Dati!D:D,C16),0)</f>
        <v>-106.6818159</v>
      </c>
      <c r="R16" s="40" t="n">
        <f aca="false">IFERROR(SUMIFS(Fonte_Dati!I:I,Fonte_Dati!D:D,C16),0)</f>
        <v>50752.1052524564</v>
      </c>
      <c r="S16" s="24" t="n">
        <f aca="false">IFERROR(R16/O16,0)</f>
        <v>95.1466842297281</v>
      </c>
      <c r="T16" s="24" t="n">
        <f aca="false">IFERROR(R16*0.08,0)</f>
        <v>4060.16842019651</v>
      </c>
      <c r="U16" s="41" t="n">
        <f aca="false">IFERROR(VLOOKUP(C16,Irraggiamento_PVGIS!C50:H65,6,0),"")</f>
        <v>0</v>
      </c>
      <c r="V16" s="42" t="str">
        <f aca="false">IFERROR((N16*1000)/(U16*K16),"")</f>
        <v/>
      </c>
    </row>
    <row r="17" customFormat="false" ht="16.5" hidden="false" customHeight="true" outlineLevel="0" collapsed="false">
      <c r="B17" s="38" t="n">
        <v>10</v>
      </c>
      <c r="C17" s="22" t="s">
        <v>329</v>
      </c>
      <c r="D17" s="25" t="s">
        <v>320</v>
      </c>
      <c r="E17" s="25" t="s">
        <v>364</v>
      </c>
      <c r="F17" s="25" t="s">
        <v>380</v>
      </c>
      <c r="G17" s="25" t="s">
        <v>381</v>
      </c>
      <c r="H17" s="27" t="n">
        <v>-0.2</v>
      </c>
      <c r="I17" s="25" t="s">
        <v>367</v>
      </c>
      <c r="J17" s="25"/>
      <c r="K17" s="39"/>
      <c r="L17" s="39"/>
      <c r="M17" s="39"/>
      <c r="N17" s="26" t="n">
        <f aca="false">IFERROR(SUMIFS(Fonte_Dati!E:E,Fonte_Dati!D:D,C17)/1000,0)</f>
        <v>476.966079999999</v>
      </c>
      <c r="O17" s="26" t="n">
        <f aca="false">IFERROR(SUMIFS(Fonte_Dati!F:F,Fonte_Dati!D:D,C17)/1000,0)</f>
        <v>487.936299839997</v>
      </c>
      <c r="P17" s="27" t="n">
        <f aca="false">IFERROR(SUMIFS(Fonte_Dati!G:G,Fonte_Dati!D:D,C17),0)</f>
        <v>46577.7927076047</v>
      </c>
      <c r="Q17" s="27" t="n">
        <f aca="false">IFERROR(SUMIFS(Fonte_Dati!H:H,Fonte_Dati!D:D,C17),0)</f>
        <v>-97.5872599679996</v>
      </c>
      <c r="R17" s="43" t="n">
        <f aca="false">IFERROR(SUMIFS(Fonte_Dati!I:I,Fonte_Dati!D:D,C17),0)</f>
        <v>46480.2054476367</v>
      </c>
      <c r="S17" s="27" t="n">
        <f aca="false">IFERROR(R17/O17,0)</f>
        <v>95.2587570608671</v>
      </c>
      <c r="T17" s="27" t="n">
        <f aca="false">IFERROR(R17*0.08,0)</f>
        <v>3718.41643581094</v>
      </c>
      <c r="U17" s="44" t="n">
        <f aca="false">IFERROR(VLOOKUP(C17,Irraggiamento_PVGIS!C50:H65,6,0),"")</f>
        <v>0</v>
      </c>
      <c r="V17" s="45" t="str">
        <f aca="false">IFERROR((N17*1000)/(U17*K17),"")</f>
        <v/>
      </c>
    </row>
    <row r="18" customFormat="false" ht="16.5" hidden="false" customHeight="true" outlineLevel="0" collapsed="false">
      <c r="B18" s="38" t="n">
        <v>11</v>
      </c>
      <c r="C18" s="22" t="s">
        <v>324</v>
      </c>
      <c r="D18" s="21" t="s">
        <v>320</v>
      </c>
      <c r="E18" s="21" t="s">
        <v>371</v>
      </c>
      <c r="F18" s="21" t="s">
        <v>382</v>
      </c>
      <c r="G18" s="21"/>
      <c r="H18" s="24" t="n">
        <v>-0.2</v>
      </c>
      <c r="I18" s="21" t="s">
        <v>367</v>
      </c>
      <c r="J18" s="21"/>
      <c r="K18" s="39"/>
      <c r="L18" s="39"/>
      <c r="M18" s="39"/>
      <c r="N18" s="23" t="n">
        <f aca="false">IFERROR(SUMIFS(Fonte_Dati!E:E,Fonte_Dati!D:D,C18)/1000,0)</f>
        <v>326.175825</v>
      </c>
      <c r="O18" s="23" t="n">
        <f aca="false">IFERROR(SUMIFS(Fonte_Dati!F:F,Fonte_Dati!D:D,C18)/1000,0)</f>
        <v>324.8711217</v>
      </c>
      <c r="P18" s="24" t="n">
        <f aca="false">IFERROR(SUMIFS(Fonte_Dati!G:G,Fonte_Dati!D:D,C18),0)</f>
        <v>29734.2766692403</v>
      </c>
      <c r="Q18" s="24" t="n">
        <f aca="false">IFERROR(SUMIFS(Fonte_Dati!H:H,Fonte_Dati!D:D,C18),0)</f>
        <v>-64.97422434</v>
      </c>
      <c r="R18" s="40" t="n">
        <f aca="false">IFERROR(SUMIFS(Fonte_Dati!I:I,Fonte_Dati!D:D,C18),0)</f>
        <v>29669.3024449004</v>
      </c>
      <c r="S18" s="24" t="n">
        <f aca="false">IFERROR(R18/O18,0)</f>
        <v>91.3263767171596</v>
      </c>
      <c r="T18" s="24" t="n">
        <f aca="false">IFERROR(R18*0.08,0)</f>
        <v>2373.54419559203</v>
      </c>
      <c r="U18" s="41" t="n">
        <f aca="false">IFERROR(VLOOKUP(C18,Irraggiamento_PVGIS!C50:H65,6,0),"")</f>
        <v>0</v>
      </c>
      <c r="V18" s="42" t="str">
        <f aca="false">IFERROR((N18*1000)/(U18*K18),"")</f>
        <v/>
      </c>
    </row>
    <row r="19" customFormat="false" ht="16.5" hidden="false" customHeight="true" outlineLevel="0" collapsed="false">
      <c r="B19" s="38" t="n">
        <v>12</v>
      </c>
      <c r="C19" s="22" t="s">
        <v>325</v>
      </c>
      <c r="D19" s="25" t="s">
        <v>320</v>
      </c>
      <c r="E19" s="25" t="s">
        <v>364</v>
      </c>
      <c r="F19" s="25" t="s">
        <v>383</v>
      </c>
      <c r="G19" s="25" t="s">
        <v>384</v>
      </c>
      <c r="H19" s="27" t="n">
        <v>-0.2</v>
      </c>
      <c r="I19" s="25" t="s">
        <v>367</v>
      </c>
      <c r="J19" s="25"/>
      <c r="K19" s="39"/>
      <c r="L19" s="39"/>
      <c r="M19" s="39"/>
      <c r="N19" s="26" t="n">
        <f aca="false">IFERROR(SUMIFS(Fonte_Dati!E:E,Fonte_Dati!D:D,C19)/1000,0)</f>
        <v>320.477040000006</v>
      </c>
      <c r="O19" s="26" t="n">
        <f aca="false">IFERROR(SUMIFS(Fonte_Dati!F:F,Fonte_Dati!D:D,C19)/1000,0)</f>
        <v>319.195131840006</v>
      </c>
      <c r="P19" s="27" t="n">
        <f aca="false">IFERROR(SUMIFS(Fonte_Dati!G:G,Fonte_Dati!D:D,C19),0)</f>
        <v>29047.2579876769</v>
      </c>
      <c r="Q19" s="27" t="n">
        <f aca="false">IFERROR(SUMIFS(Fonte_Dati!H:H,Fonte_Dati!D:D,C19),0)</f>
        <v>-63.8390263680011</v>
      </c>
      <c r="R19" s="43" t="n">
        <f aca="false">IFERROR(SUMIFS(Fonte_Dati!I:I,Fonte_Dati!D:D,C19),0)</f>
        <v>28983.418961309</v>
      </c>
      <c r="S19" s="27" t="n">
        <f aca="false">IFERROR(R19/O19,0)</f>
        <v>90.8015695422219</v>
      </c>
      <c r="T19" s="27" t="n">
        <f aca="false">IFERROR(R19*0.08,0)</f>
        <v>2318.67351690472</v>
      </c>
      <c r="U19" s="44" t="n">
        <f aca="false">IFERROR(VLOOKUP(C19,Irraggiamento_PVGIS!C50:H65,6,0),"")</f>
        <v>0</v>
      </c>
      <c r="V19" s="45" t="str">
        <f aca="false">IFERROR((N19*1000)/(U19*K19),"")</f>
        <v/>
      </c>
    </row>
    <row r="20" customFormat="false" ht="16.5" hidden="false" customHeight="true" outlineLevel="0" collapsed="false">
      <c r="B20" s="38" t="n">
        <v>13</v>
      </c>
      <c r="C20" s="22" t="s">
        <v>327</v>
      </c>
      <c r="D20" s="21" t="s">
        <v>320</v>
      </c>
      <c r="E20" s="21" t="s">
        <v>364</v>
      </c>
      <c r="F20" s="21" t="s">
        <v>383</v>
      </c>
      <c r="G20" s="21" t="s">
        <v>385</v>
      </c>
      <c r="H20" s="24" t="n">
        <v>-0.2</v>
      </c>
      <c r="I20" s="21" t="s">
        <v>367</v>
      </c>
      <c r="J20" s="21"/>
      <c r="K20" s="39"/>
      <c r="L20" s="39"/>
      <c r="M20" s="39"/>
      <c r="N20" s="23" t="n">
        <f aca="false">IFERROR(SUMIFS(Fonte_Dati!E:E,Fonte_Dati!D:D,C20)/1000,0)</f>
        <v>76.1901599999965</v>
      </c>
      <c r="O20" s="23" t="n">
        <f aca="false">IFERROR(SUMIFS(Fonte_Dati!F:F,Fonte_Dati!D:D,C20)/1000,0)</f>
        <v>75.8853993599965</v>
      </c>
      <c r="P20" s="24" t="n">
        <f aca="false">IFERROR(SUMIFS(Fonte_Dati!G:G,Fonte_Dati!D:D,C20),0)</f>
        <v>8742.47177838569</v>
      </c>
      <c r="Q20" s="24" t="n">
        <f aca="false">IFERROR(SUMIFS(Fonte_Dati!H:H,Fonte_Dati!D:D,C20),0)</f>
        <v>-15.1770798719993</v>
      </c>
      <c r="R20" s="40" t="n">
        <f aca="false">IFERROR(SUMIFS(Fonte_Dati!I:I,Fonte_Dati!D:D,C20),0)</f>
        <v>8727.29469851368</v>
      </c>
      <c r="S20" s="24" t="n">
        <f aca="false">IFERROR(R20/O20,0)</f>
        <v>115.006243257835</v>
      </c>
      <c r="T20" s="24" t="n">
        <f aca="false">IFERROR(R20*0.08,0)</f>
        <v>698.183575881095</v>
      </c>
      <c r="U20" s="41" t="n">
        <f aca="false">IFERROR(VLOOKUP(C20,Irraggiamento_PVGIS!C50:H65,6,0),"")</f>
        <v>0</v>
      </c>
      <c r="V20" s="42" t="str">
        <f aca="false">IFERROR((N20*1000)/(U20*K20),"")</f>
        <v/>
      </c>
    </row>
    <row r="21" customFormat="false" ht="16.5" hidden="false" customHeight="true" outlineLevel="0" collapsed="false">
      <c r="B21" s="38" t="n">
        <v>14</v>
      </c>
      <c r="C21" s="22" t="s">
        <v>326</v>
      </c>
      <c r="D21" s="25" t="s">
        <v>320</v>
      </c>
      <c r="E21" s="25" t="s">
        <v>371</v>
      </c>
      <c r="F21" s="25" t="s">
        <v>382</v>
      </c>
      <c r="G21" s="25"/>
      <c r="H21" s="27" t="n">
        <v>-0.2</v>
      </c>
      <c r="I21" s="25" t="s">
        <v>367</v>
      </c>
      <c r="J21" s="25"/>
      <c r="K21" s="39"/>
      <c r="L21" s="39"/>
      <c r="M21" s="39"/>
      <c r="N21" s="26" t="n">
        <f aca="false">IFERROR(SUMIFS(Fonte_Dati!E:E,Fonte_Dati!D:D,C21)/1000,0)</f>
        <v>78.5165400000001</v>
      </c>
      <c r="O21" s="26" t="n">
        <f aca="false">IFERROR(SUMIFS(Fonte_Dati!F:F,Fonte_Dati!D:D,C21)/1000,0)</f>
        <v>78.2024738400001</v>
      </c>
      <c r="P21" s="27" t="n">
        <f aca="false">IFERROR(SUMIFS(Fonte_Dati!G:G,Fonte_Dati!D:D,C21),0)</f>
        <v>7402.49901172912</v>
      </c>
      <c r="Q21" s="27" t="n">
        <f aca="false">IFERROR(SUMIFS(Fonte_Dati!H:H,Fonte_Dati!D:D,C21),0)</f>
        <v>-15.640494768</v>
      </c>
      <c r="R21" s="43" t="n">
        <f aca="false">IFERROR(SUMIFS(Fonte_Dati!I:I,Fonte_Dati!D:D,C21),0)</f>
        <v>7386.85851696112</v>
      </c>
      <c r="S21" s="27" t="n">
        <f aca="false">IFERROR(R21/O21,0)</f>
        <v>94.4581181929667</v>
      </c>
      <c r="T21" s="27" t="n">
        <f aca="false">IFERROR(R21*0.08,0)</f>
        <v>590.94868135689</v>
      </c>
      <c r="U21" s="44" t="n">
        <f aca="false">IFERROR(VLOOKUP(C21,Irraggiamento_PVGIS!C50:H65,6,0),"")</f>
        <v>0</v>
      </c>
      <c r="V21" s="45" t="str">
        <f aca="false">IFERROR((N21*1000)/(U21*K21),"")</f>
        <v/>
      </c>
    </row>
    <row r="22" customFormat="false" ht="16.5" hidden="false" customHeight="true" outlineLevel="0" collapsed="false">
      <c r="B22" s="38" t="n">
        <v>15</v>
      </c>
      <c r="C22" s="22" t="s">
        <v>321</v>
      </c>
      <c r="D22" s="21" t="s">
        <v>320</v>
      </c>
      <c r="E22" s="21" t="s">
        <v>364</v>
      </c>
      <c r="F22" s="21" t="s">
        <v>365</v>
      </c>
      <c r="G22" s="21" t="s">
        <v>386</v>
      </c>
      <c r="H22" s="24" t="n">
        <v>-0.2</v>
      </c>
      <c r="I22" s="21" t="s">
        <v>367</v>
      </c>
      <c r="J22" s="21"/>
      <c r="K22" s="39"/>
      <c r="L22" s="39"/>
      <c r="M22" s="39"/>
      <c r="N22" s="23" t="n">
        <f aca="false">IFERROR(SUMIFS(Fonte_Dati!E:E,Fonte_Dati!D:D,C22)/1000,0)</f>
        <v>70.7019199999996</v>
      </c>
      <c r="O22" s="23" t="n">
        <f aca="false">IFERROR(SUMIFS(Fonte_Dati!F:F,Fonte_Dati!D:D,C22)/1000,0)</f>
        <v>72.3280641599994</v>
      </c>
      <c r="P22" s="24" t="n">
        <f aca="false">IFERROR(SUMIFS(Fonte_Dati!G:G,Fonte_Dati!D:D,C22),0)</f>
        <v>6636.80406630248</v>
      </c>
      <c r="Q22" s="24" t="n">
        <f aca="false">IFERROR(SUMIFS(Fonte_Dati!H:H,Fonte_Dati!D:D,C22),0)</f>
        <v>-14.4656128319999</v>
      </c>
      <c r="R22" s="40" t="n">
        <f aca="false">IFERROR(SUMIFS(Fonte_Dati!I:I,Fonte_Dati!D:D,C22),0)</f>
        <v>6622.33845347049</v>
      </c>
      <c r="S22" s="24" t="n">
        <f aca="false">IFERROR(R22/O22,0)</f>
        <v>91.5597359113744</v>
      </c>
      <c r="T22" s="24" t="n">
        <f aca="false">IFERROR(R22*0.08,0)</f>
        <v>529.787076277639</v>
      </c>
      <c r="U22" s="41" t="n">
        <f aca="false">IFERROR(VLOOKUP(C22,Irraggiamento_PVGIS!C50:H65,6,0),"")</f>
        <v>0</v>
      </c>
      <c r="V22" s="42" t="str">
        <f aca="false">IFERROR((N22*1000)/(U22*K22),"")</f>
        <v/>
      </c>
    </row>
    <row r="23" customFormat="false" ht="16.5" hidden="false" customHeight="true" outlineLevel="0" collapsed="false">
      <c r="B23" s="38" t="n">
        <v>16</v>
      </c>
      <c r="C23" s="22" t="s">
        <v>332</v>
      </c>
      <c r="D23" s="25" t="s">
        <v>320</v>
      </c>
      <c r="E23" s="25" t="s">
        <v>364</v>
      </c>
      <c r="F23" s="25" t="s">
        <v>365</v>
      </c>
      <c r="G23" s="25" t="s">
        <v>387</v>
      </c>
      <c r="H23" s="27" t="n">
        <v>-0.2</v>
      </c>
      <c r="I23" s="25" t="s">
        <v>367</v>
      </c>
      <c r="J23" s="25"/>
      <c r="K23" s="39"/>
      <c r="L23" s="39"/>
      <c r="M23" s="39"/>
      <c r="N23" s="26" t="n">
        <f aca="false">IFERROR(SUMIFS(Fonte_Dati!E:E,Fonte_Dati!D:D,C23)/1000,0)</f>
        <v>19.1662200000003</v>
      </c>
      <c r="O23" s="26" t="n">
        <f aca="false">IFERROR(SUMIFS(Fonte_Dati!F:F,Fonte_Dati!D:D,C23)/1000,0)</f>
        <v>19.6070430600002</v>
      </c>
      <c r="P23" s="27" t="n">
        <f aca="false">IFERROR(SUMIFS(Fonte_Dati!G:G,Fonte_Dati!D:D,C23),0)</f>
        <v>1828.98809174635</v>
      </c>
      <c r="Q23" s="27" t="n">
        <f aca="false">IFERROR(SUMIFS(Fonte_Dati!H:H,Fonte_Dati!D:D,C23),0)</f>
        <v>-3.92140861200006</v>
      </c>
      <c r="R23" s="43" t="n">
        <f aca="false">IFERROR(SUMIFS(Fonte_Dati!I:I,Fonte_Dati!D:D,C23),0)</f>
        <v>1825.06668313435</v>
      </c>
      <c r="S23" s="27" t="n">
        <f aca="false">IFERROR(R23/O23,0)</f>
        <v>93.0821989603123</v>
      </c>
      <c r="T23" s="27" t="n">
        <f aca="false">IFERROR(R23*0.08,0)</f>
        <v>146.005334650748</v>
      </c>
      <c r="U23" s="44" t="n">
        <f aca="false">IFERROR(VLOOKUP(C23,Irraggiamento_PVGIS!C50:H65,6,0),"")</f>
        <v>0</v>
      </c>
      <c r="V23" s="45" t="str">
        <f aca="false">IFERROR((N23*1000)/(U23*K23),"")</f>
        <v/>
      </c>
    </row>
    <row r="24" customFormat="false" ht="15" hidden="false" customHeight="true" outlineLevel="0" collapsed="false">
      <c r="B24" s="28" t="s">
        <v>388</v>
      </c>
      <c r="C24" s="28"/>
      <c r="D24" s="28"/>
      <c r="E24" s="28"/>
      <c r="F24" s="28"/>
      <c r="G24" s="28"/>
      <c r="H24" s="28"/>
      <c r="I24" s="28"/>
      <c r="N24" s="46" t="n">
        <f aca="false">SUM(O8:O23)</f>
        <v>28924.1783519251</v>
      </c>
      <c r="O24" s="29" t="n">
        <f aca="false">SUM(P8:P23)</f>
        <v>3133013.13684192</v>
      </c>
      <c r="P24" s="29" t="n">
        <f aca="false">SUM(Q8:Q23)</f>
        <v>-5784.83567038502</v>
      </c>
      <c r="Q24" s="29" t="n">
        <f aca="false">SUM(R8:R23)</f>
        <v>3127228.30117153</v>
      </c>
      <c r="R24" s="29" t="n">
        <f aca="false">IFERROR(SUM(R8:R23),0)</f>
        <v>3127228.30117153</v>
      </c>
      <c r="S24" s="29" t="n">
        <f aca="false">IFERROR(R24/O24,"")</f>
        <v>0.998153587164267</v>
      </c>
      <c r="T24" s="29" t="n">
        <f aca="false">IFERROR(SUM(T8:T23),0)</f>
        <v>250178.264093723</v>
      </c>
      <c r="U24" s="47" t="str">
        <f aca="false">IFERROR(AVERAGE(V8:V23),"")</f>
        <v/>
      </c>
      <c r="V24" s="48" t="str">
        <f aca="false">IFERROR(AVERAGE(V8:V23),"")</f>
        <v/>
      </c>
    </row>
  </sheetData>
  <mergeCells count="7">
    <mergeCell ref="B1:T3"/>
    <mergeCell ref="B4:T4"/>
    <mergeCell ref="B6:J6"/>
    <mergeCell ref="K6:N6"/>
    <mergeCell ref="O6:T6"/>
    <mergeCell ref="V6:W6"/>
    <mergeCell ref="B24:I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B1:N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"/>
    <col collapsed="false" customWidth="true" hidden="false" outlineLevel="0" max="14" min="3" style="1" width="15"/>
  </cols>
  <sheetData>
    <row r="1" customFormat="false" ht="15" hidden="false" customHeight="true" outlineLevel="0" collapsed="false">
      <c r="B1" s="49" t="s">
        <v>389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customFormat="false" ht="15" hidden="false" customHeight="true" outlineLevel="0" collapsed="false"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3" customFormat="false" ht="15" hidden="false" customHeight="true" outlineLevel="0" collapsed="false"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</row>
    <row r="4" customFormat="false" ht="15" hidden="false" customHeight="true" outlineLevel="0" collapsed="false">
      <c r="B4" s="18" t="s">
        <v>390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customFormat="false" ht="27.75" hidden="false" customHeight="true" outlineLevel="0" collapsed="false">
      <c r="B5" s="50" t="s">
        <v>391</v>
      </c>
      <c r="C5" s="50"/>
      <c r="D5" s="50"/>
      <c r="E5" s="51" t="s">
        <v>392</v>
      </c>
      <c r="F5" s="51"/>
      <c r="G5" s="51"/>
      <c r="H5" s="51"/>
      <c r="I5" s="52" t="s">
        <v>393</v>
      </c>
      <c r="J5" s="52"/>
      <c r="K5" s="52"/>
      <c r="L5" s="53" t="s">
        <v>394</v>
      </c>
      <c r="M5" s="53"/>
      <c r="N5" s="53"/>
    </row>
    <row r="6" customFormat="false" ht="19.5" hidden="false" customHeight="true" outlineLevel="0" collapsed="false">
      <c r="C6" s="54" t="s">
        <v>395</v>
      </c>
      <c r="D6" s="54"/>
      <c r="E6" s="54"/>
      <c r="F6" s="54" t="s">
        <v>396</v>
      </c>
      <c r="G6" s="54"/>
      <c r="H6" s="54"/>
      <c r="I6" s="54" t="s">
        <v>397</v>
      </c>
      <c r="J6" s="54"/>
      <c r="K6" s="54"/>
      <c r="L6" s="54" t="s">
        <v>398</v>
      </c>
      <c r="M6" s="54"/>
      <c r="N6" s="54"/>
    </row>
    <row r="7" customFormat="false" ht="43.5" hidden="false" customHeight="true" outlineLevel="0" collapsed="false">
      <c r="C7" s="55" t="s">
        <v>399</v>
      </c>
      <c r="D7" s="55"/>
      <c r="E7" s="55"/>
      <c r="F7" s="56" t="s">
        <v>400</v>
      </c>
      <c r="G7" s="56"/>
      <c r="H7" s="56"/>
      <c r="I7" s="55" t="s">
        <v>401</v>
      </c>
      <c r="J7" s="55"/>
      <c r="K7" s="55"/>
      <c r="L7" s="56" t="s">
        <v>402</v>
      </c>
      <c r="M7" s="56"/>
      <c r="N7" s="56"/>
    </row>
    <row r="8" customFormat="false" ht="19.5" hidden="false" customHeight="true" outlineLevel="0" collapsed="false">
      <c r="C8" s="57" t="s">
        <v>403</v>
      </c>
      <c r="D8" s="57"/>
      <c r="E8" s="57"/>
      <c r="F8" s="57" t="s">
        <v>404</v>
      </c>
      <c r="G8" s="57"/>
      <c r="H8" s="57"/>
      <c r="I8" s="57" t="s">
        <v>405</v>
      </c>
      <c r="J8" s="57"/>
      <c r="K8" s="57"/>
      <c r="L8" s="57" t="s">
        <v>406</v>
      </c>
      <c r="M8" s="57"/>
      <c r="N8" s="57"/>
    </row>
    <row r="10" customFormat="false" ht="19.5" hidden="false" customHeight="true" outlineLevel="0" collapsed="false">
      <c r="C10" s="54" t="s">
        <v>407</v>
      </c>
      <c r="D10" s="54"/>
      <c r="E10" s="54"/>
      <c r="F10" s="54" t="s">
        <v>408</v>
      </c>
      <c r="G10" s="54"/>
      <c r="H10" s="54"/>
      <c r="I10" s="54" t="s">
        <v>409</v>
      </c>
      <c r="J10" s="54"/>
      <c r="K10" s="54"/>
      <c r="L10" s="54" t="s">
        <v>410</v>
      </c>
      <c r="M10" s="54"/>
      <c r="N10" s="54"/>
    </row>
    <row r="11" customFormat="false" ht="43.5" hidden="false" customHeight="true" outlineLevel="0" collapsed="false">
      <c r="C11" s="55" t="s">
        <v>411</v>
      </c>
      <c r="D11" s="55"/>
      <c r="E11" s="55"/>
      <c r="F11" s="58" t="s">
        <v>412</v>
      </c>
      <c r="G11" s="58"/>
      <c r="H11" s="58"/>
      <c r="I11" s="56" t="s">
        <v>413</v>
      </c>
      <c r="J11" s="56"/>
      <c r="K11" s="56"/>
      <c r="L11" s="55" t="s">
        <v>414</v>
      </c>
      <c r="M11" s="55"/>
      <c r="N11" s="55"/>
    </row>
    <row r="12" customFormat="false" ht="19.5" hidden="false" customHeight="true" outlineLevel="0" collapsed="false">
      <c r="C12" s="59" t="s">
        <v>415</v>
      </c>
      <c r="D12" s="59"/>
      <c r="E12" s="59"/>
      <c r="F12" s="59" t="s">
        <v>416</v>
      </c>
      <c r="G12" s="59"/>
      <c r="H12" s="59"/>
      <c r="I12" s="59" t="s">
        <v>417</v>
      </c>
      <c r="J12" s="59"/>
      <c r="K12" s="59"/>
      <c r="L12" s="57" t="s">
        <v>418</v>
      </c>
      <c r="M12" s="57"/>
      <c r="N12" s="57"/>
    </row>
    <row r="13" customFormat="false" ht="21.75" hidden="false" customHeight="true" outlineLevel="0" collapsed="false">
      <c r="B13" s="60" t="s">
        <v>419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</row>
    <row r="14" customFormat="false" ht="24" hidden="false" customHeight="true" outlineLevel="0" collapsed="false">
      <c r="C14" s="61" t="s">
        <v>420</v>
      </c>
      <c r="F14" s="37" t="s">
        <v>421</v>
      </c>
      <c r="I14" s="35" t="s">
        <v>422</v>
      </c>
      <c r="L14" s="62" t="s">
        <v>423</v>
      </c>
      <c r="M14" s="62"/>
      <c r="N14" s="62"/>
    </row>
    <row r="15" customFormat="false" ht="33.75" hidden="false" customHeight="true" outlineLevel="0" collapsed="false">
      <c r="C15" s="63" t="str">
        <f aca="false">IFERROR(TEXT('💹 Incentivi'!R24,"€ #,##0"),"—")</f>
        <v>€ 2,826,099</v>
      </c>
      <c r="F15" s="64" t="str">
        <f aca="false">IFERROR(TEXT('💹 Incentivi'!R44,"€ #,##0"),"—")</f>
        <v>€ 1,123,198</v>
      </c>
      <c r="I15" s="65" t="str">
        <f aca="false">IFERROR(TEXT('💹 Incentivi'!R64,"+€ #,##0;-€ #,##0;€ 0"),"—")</f>
        <v>-€ 1,702,901</v>
      </c>
      <c r="L15" s="66" t="str">
        <f aca="false">IFERROR(TEXT(Finanziario!N24,"€ #,##0"),"—")</f>
        <v>€ 4,582,009</v>
      </c>
      <c r="M15" s="66"/>
      <c r="N15" s="66"/>
    </row>
    <row r="16" customFormat="false" ht="15.75" hidden="false" customHeight="true" outlineLevel="0" collapsed="false">
      <c r="C16" s="67" t="s">
        <v>424</v>
      </c>
      <c r="F16" s="67" t="s">
        <v>425</v>
      </c>
      <c r="I16" s="67" t="s">
        <v>426</v>
      </c>
      <c r="L16" s="68" t="s">
        <v>427</v>
      </c>
      <c r="M16" s="68"/>
      <c r="N16" s="68"/>
    </row>
    <row r="17" customFormat="false" ht="16.5" hidden="false" customHeight="true" outlineLevel="0" collapsed="false">
      <c r="C17" s="69" t="s">
        <v>428</v>
      </c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</row>
    <row r="18" customFormat="false" ht="16.5" hidden="false" customHeight="true" outlineLevel="0" collapsed="false">
      <c r="C18" s="36" t="s">
        <v>345</v>
      </c>
      <c r="D18" s="36" t="s">
        <v>310</v>
      </c>
      <c r="E18" s="36" t="s">
        <v>317</v>
      </c>
      <c r="F18" s="36" t="s">
        <v>346</v>
      </c>
      <c r="G18" s="36" t="s">
        <v>347</v>
      </c>
      <c r="H18" s="36" t="s">
        <v>355</v>
      </c>
      <c r="I18" s="36" t="s">
        <v>356</v>
      </c>
      <c r="J18" s="36" t="s">
        <v>429</v>
      </c>
      <c r="K18" s="36" t="s">
        <v>314</v>
      </c>
      <c r="L18" s="36" t="s">
        <v>430</v>
      </c>
      <c r="M18" s="36" t="s">
        <v>316</v>
      </c>
      <c r="N18" s="36" t="s">
        <v>361</v>
      </c>
    </row>
    <row r="19" customFormat="false" ht="16.5" hidden="false" customHeight="true" outlineLevel="0" collapsed="false">
      <c r="C19" s="38" t="n">
        <v>1</v>
      </c>
      <c r="D19" s="70" t="s">
        <v>336</v>
      </c>
      <c r="E19" s="71" t="s">
        <v>334</v>
      </c>
      <c r="F19" s="41" t="n">
        <f aca="false">IFERROR(SUMIFS(Fonte_Dati!E:E,Fonte_Dati!D:D,D16)/1000,0)</f>
        <v>0</v>
      </c>
      <c r="G19" s="41" t="n">
        <f aca="false">IFERROR(SUMIFS(Fonte_Dati!F:F,Fonte_Dati!D:D,D16)/1000,0)</f>
        <v>0</v>
      </c>
      <c r="H19" s="24" t="n">
        <f aca="false">IFERROR(SUMIFS(Fonte_Dati!G:G,Fonte_Dati!D:D,D16),0)</f>
        <v>0</v>
      </c>
      <c r="I19" s="24" t="n">
        <f aca="false">IFERROR(SUMIFS(Fonte_Dati!H:H,Fonte_Dati!D:D,D16),0)</f>
        <v>0</v>
      </c>
      <c r="J19" s="40" t="n">
        <f aca="false">IFERROR(SUMIFS(Fonte_Dati!I:I,Fonte_Dati!D:D,D16),0)</f>
        <v>0</v>
      </c>
      <c r="K19" s="24" t="n">
        <f aca="false">IFERROR(J16/G16,0)</f>
        <v>0</v>
      </c>
      <c r="L19" s="24" t="n">
        <f aca="false">IFERROR(J16*0.08,0)</f>
        <v>0</v>
      </c>
      <c r="M19" s="24" t="n">
        <v>114.420798519877</v>
      </c>
      <c r="N19" s="72" t="n">
        <v>83264</v>
      </c>
    </row>
    <row r="20" customFormat="false" ht="16.5" hidden="false" customHeight="true" outlineLevel="0" collapsed="false">
      <c r="C20" s="38" t="n">
        <v>2</v>
      </c>
      <c r="D20" s="73" t="s">
        <v>333</v>
      </c>
      <c r="E20" s="71" t="s">
        <v>334</v>
      </c>
      <c r="F20" s="44" t="n">
        <f aca="false">IFERROR(SUMIFS(Fonte_Dati!E:E,Fonte_Dati!D:D,D17)/1000,0)</f>
        <v>0</v>
      </c>
      <c r="G20" s="44" t="n">
        <f aca="false">IFERROR(SUMIFS(Fonte_Dati!F:F,Fonte_Dati!D:D,D17)/1000,0)</f>
        <v>0</v>
      </c>
      <c r="H20" s="27" t="n">
        <f aca="false">IFERROR(SUMIFS(Fonte_Dati!G:G,Fonte_Dati!D:D,D17),0)</f>
        <v>0</v>
      </c>
      <c r="I20" s="27" t="n">
        <f aca="false">IFERROR(SUMIFS(Fonte_Dati!H:H,Fonte_Dati!D:D,D17),0)</f>
        <v>0</v>
      </c>
      <c r="J20" s="43" t="n">
        <f aca="false">IFERROR(SUMIFS(Fonte_Dati!I:I,Fonte_Dati!D:D,D17),0)</f>
        <v>0</v>
      </c>
      <c r="K20" s="27" t="n">
        <f aca="false">IFERROR(J17/G17,0)</f>
        <v>0</v>
      </c>
      <c r="L20" s="27" t="n">
        <f aca="false">IFERROR(J17*0.08,0)</f>
        <v>0</v>
      </c>
      <c r="M20" s="27" t="n">
        <v>111.85094207367</v>
      </c>
      <c r="N20" s="74" t="n">
        <v>72545</v>
      </c>
    </row>
    <row r="21" customFormat="false" ht="16.5" hidden="false" customHeight="true" outlineLevel="0" collapsed="false">
      <c r="C21" s="38" t="n">
        <v>3</v>
      </c>
      <c r="D21" s="70" t="s">
        <v>335</v>
      </c>
      <c r="E21" s="71" t="s">
        <v>334</v>
      </c>
      <c r="F21" s="41" t="n">
        <f aca="false">IFERROR(SUMIFS(Fonte_Dati!E:E,Fonte_Dati!D:D,D18)/1000,0)</f>
        <v>0</v>
      </c>
      <c r="G21" s="41" t="n">
        <f aca="false">IFERROR(SUMIFS(Fonte_Dati!F:F,Fonte_Dati!D:D,D18)/1000,0)</f>
        <v>0</v>
      </c>
      <c r="H21" s="24" t="n">
        <f aca="false">IFERROR(SUMIFS(Fonte_Dati!G:G,Fonte_Dati!D:D,D18),0)</f>
        <v>0</v>
      </c>
      <c r="I21" s="24" t="n">
        <f aca="false">IFERROR(SUMIFS(Fonte_Dati!H:H,Fonte_Dati!D:D,D18),0)</f>
        <v>0</v>
      </c>
      <c r="J21" s="40" t="n">
        <f aca="false">IFERROR(SUMIFS(Fonte_Dati!I:I,Fonte_Dati!D:D,D18),0)</f>
        <v>0</v>
      </c>
      <c r="K21" s="24" t="n">
        <f aca="false">IFERROR(J18/G18,0)</f>
        <v>0</v>
      </c>
      <c r="L21" s="24" t="n">
        <f aca="false">IFERROR(J18*0.08,0)</f>
        <v>0</v>
      </c>
      <c r="M21" s="24" t="n">
        <v>112.612869669662</v>
      </c>
      <c r="N21" s="72" t="n">
        <v>35541</v>
      </c>
    </row>
    <row r="22" customFormat="false" ht="16.5" hidden="false" customHeight="true" outlineLevel="0" collapsed="false">
      <c r="C22" s="38" t="n">
        <v>4</v>
      </c>
      <c r="D22" s="73" t="s">
        <v>323</v>
      </c>
      <c r="E22" s="75" t="s">
        <v>320</v>
      </c>
      <c r="F22" s="44" t="n">
        <f aca="false">IFERROR(SUMIFS(Fonte_Dati!E:E,Fonte_Dati!D:D,D19)/1000,0)</f>
        <v>9096.22360722042</v>
      </c>
      <c r="G22" s="44" t="n">
        <f aca="false">IFERROR(SUMIFS(Fonte_Dati!F:F,Fonte_Dati!D:D,D19)/1000,0)</f>
        <v>9096.23162365926</v>
      </c>
      <c r="H22" s="27" t="n">
        <f aca="false">IFERROR(SUMIFS(Fonte_Dati!G:G,Fonte_Dati!D:D,D19),0)</f>
        <v>1042617.33222558</v>
      </c>
      <c r="I22" s="27" t="n">
        <f aca="false">IFERROR(SUMIFS(Fonte_Dati!H:H,Fonte_Dati!D:D,D19),0)</f>
        <v>-1819.24632473185</v>
      </c>
      <c r="J22" s="43" t="n">
        <f aca="false">IFERROR(SUMIFS(Fonte_Dati!I:I,Fonte_Dati!D:D,D19),0)</f>
        <v>1040798.08590084</v>
      </c>
      <c r="K22" s="27" t="n">
        <f aca="false">IFERROR(J19/G19,0)</f>
        <v>0</v>
      </c>
      <c r="L22" s="27" t="n">
        <f aca="false">IFERROR(J19*0.08,0)</f>
        <v>0</v>
      </c>
      <c r="M22" s="27" t="n">
        <v>95.0104061310683</v>
      </c>
      <c r="N22" s="74" t="n">
        <v>12007</v>
      </c>
    </row>
    <row r="23" customFormat="false" ht="16.5" hidden="false" customHeight="true" outlineLevel="0" collapsed="false">
      <c r="C23" s="38" t="n">
        <v>5</v>
      </c>
      <c r="D23" s="70" t="s">
        <v>322</v>
      </c>
      <c r="E23" s="75" t="s">
        <v>320</v>
      </c>
      <c r="F23" s="41" t="n">
        <f aca="false">IFERROR(SUMIFS(Fonte_Dati!E:E,Fonte_Dati!D:D,D20)/1000,0)</f>
        <v>8107.31482333447</v>
      </c>
      <c r="G23" s="41" t="n">
        <f aca="false">IFERROR(SUMIFS(Fonte_Dati!F:F,Fonte_Dati!D:D,D20)/1000,0)</f>
        <v>8107.31482333447</v>
      </c>
      <c r="H23" s="24" t="n">
        <f aca="false">IFERROR(SUMIFS(Fonte_Dati!G:G,Fonte_Dati!D:D,D20),0)</f>
        <v>908432.263642457</v>
      </c>
      <c r="I23" s="24" t="n">
        <f aca="false">IFERROR(SUMIFS(Fonte_Dati!H:H,Fonte_Dati!D:D,D20),0)</f>
        <v>-1621.46296466689</v>
      </c>
      <c r="J23" s="40" t="n">
        <f aca="false">IFERROR(SUMIFS(Fonte_Dati!I:I,Fonte_Dati!D:D,D20),0)</f>
        <v>906810.800677789</v>
      </c>
      <c r="K23" s="24" t="n">
        <f aca="false">IFERROR(J20/G20,0)</f>
        <v>0</v>
      </c>
      <c r="L23" s="24" t="n">
        <f aca="false">IFERROR(J20*0.08,0)</f>
        <v>0</v>
      </c>
      <c r="M23" s="24" t="n">
        <v>96.2260184924635</v>
      </c>
      <c r="N23" s="72" t="n">
        <v>11844</v>
      </c>
    </row>
    <row r="24" customFormat="false" ht="16.5" hidden="false" customHeight="true" outlineLevel="0" collapsed="false">
      <c r="C24" s="38" t="n">
        <v>6</v>
      </c>
      <c r="D24" s="73" t="s">
        <v>319</v>
      </c>
      <c r="E24" s="75" t="s">
        <v>320</v>
      </c>
      <c r="F24" s="44" t="n">
        <f aca="false">IFERROR(SUMIFS(Fonte_Dati!E:E,Fonte_Dati!D:D,D21)/1000,0)</f>
        <v>3945.05626667521</v>
      </c>
      <c r="G24" s="44" t="n">
        <f aca="false">IFERROR(SUMIFS(Fonte_Dati!F:F,Fonte_Dati!D:D,D21)/1000,0)</f>
        <v>3945.07749451136</v>
      </c>
      <c r="H24" s="27" t="n">
        <f aca="false">IFERROR(SUMIFS(Fonte_Dati!G:G,Fonte_Dati!D:D,D21),0)</f>
        <v>445055.513225028</v>
      </c>
      <c r="I24" s="27" t="n">
        <f aca="false">IFERROR(SUMIFS(Fonte_Dati!H:H,Fonte_Dati!D:D,D21),0)</f>
        <v>-789.015498902271</v>
      </c>
      <c r="J24" s="43" t="n">
        <f aca="false">IFERROR(SUMIFS(Fonte_Dati!I:I,Fonte_Dati!D:D,D21),0)</f>
        <v>444266.497726125</v>
      </c>
      <c r="K24" s="27" t="n">
        <f aca="false">IFERROR(J21/G21,0)</f>
        <v>0</v>
      </c>
      <c r="L24" s="27" t="n">
        <f aca="false">IFERROR(J21*0.08,0)</f>
        <v>0</v>
      </c>
      <c r="M24" s="27" t="n">
        <v>90.4158755232056</v>
      </c>
      <c r="N24" s="74" t="n">
        <v>8263</v>
      </c>
    </row>
    <row r="25" customFormat="false" ht="16.5" hidden="false" customHeight="true" outlineLevel="0" collapsed="false">
      <c r="C25" s="38" t="n">
        <v>7</v>
      </c>
      <c r="D25" s="70" t="s">
        <v>331</v>
      </c>
      <c r="E25" s="75" t="s">
        <v>320</v>
      </c>
      <c r="F25" s="41" t="n">
        <f aca="false">IFERROR(SUMIFS(Fonte_Dati!E:E,Fonte_Dati!D:D,D22)/1000,0)</f>
        <v>1544.21248</v>
      </c>
      <c r="G25" s="41" t="n">
        <f aca="false">IFERROR(SUMIFS(Fonte_Dati!F:F,Fonte_Dati!D:D,D22)/1000,0)</f>
        <v>1579.72936704</v>
      </c>
      <c r="H25" s="24" t="n">
        <f aca="false">IFERROR(SUMIFS(Fonte_Dati!G:G,Fonte_Dati!D:D,D22),0)</f>
        <v>150406.674613054</v>
      </c>
      <c r="I25" s="24" t="n">
        <f aca="false">IFERROR(SUMIFS(Fonte_Dati!H:H,Fonte_Dati!D:D,D22),0)</f>
        <v>-315.945873408</v>
      </c>
      <c r="J25" s="40" t="n">
        <f aca="false">IFERROR(SUMIFS(Fonte_Dati!I:I,Fonte_Dati!D:D,D22),0)</f>
        <v>150090.728739646</v>
      </c>
      <c r="K25" s="24" t="n">
        <f aca="false">IFERROR(J22/G22,0)</f>
        <v>114.420798519876</v>
      </c>
      <c r="L25" s="24" t="n">
        <f aca="false">IFERROR(J22*0.08,0)</f>
        <v>83263.8468720675</v>
      </c>
      <c r="M25" s="24" t="n">
        <v>96.2698601669189</v>
      </c>
      <c r="N25" s="72" t="n">
        <v>6202</v>
      </c>
    </row>
    <row r="26" customFormat="false" ht="16.5" hidden="false" customHeight="true" outlineLevel="0" collapsed="false">
      <c r="C26" s="38" t="n">
        <v>8</v>
      </c>
      <c r="D26" s="73" t="s">
        <v>330</v>
      </c>
      <c r="E26" s="75" t="s">
        <v>320</v>
      </c>
      <c r="F26" s="44" t="n">
        <f aca="false">IFERROR(SUMIFS(Fonte_Dati!E:E,Fonte_Dati!D:D,D23)/1000,0)</f>
        <v>1503.9636</v>
      </c>
      <c r="G26" s="44" t="n">
        <f aca="false">IFERROR(SUMIFS(Fonte_Dati!F:F,Fonte_Dati!D:D,D23)/1000,0)</f>
        <v>1538.5547628</v>
      </c>
      <c r="H26" s="27" t="n">
        <f aca="false">IFERROR(SUMIFS(Fonte_Dati!G:G,Fonte_Dati!D:D,D23),0)</f>
        <v>148356.710009421</v>
      </c>
      <c r="I26" s="27" t="n">
        <f aca="false">IFERROR(SUMIFS(Fonte_Dati!H:H,Fonte_Dati!D:D,D23),0)</f>
        <v>-307.71095256</v>
      </c>
      <c r="J26" s="43" t="n">
        <f aca="false">IFERROR(SUMIFS(Fonte_Dati!I:I,Fonte_Dati!D:D,D23),0)</f>
        <v>148048.999056861</v>
      </c>
      <c r="K26" s="27" t="n">
        <f aca="false">IFERROR(J23/G23,0)</f>
        <v>111.85094207367</v>
      </c>
      <c r="L26" s="27" t="n">
        <f aca="false">IFERROR(J23*0.08,0)</f>
        <v>72544.8640542231</v>
      </c>
      <c r="M26" s="27" t="n">
        <v>95.1579933329703</v>
      </c>
      <c r="N26" s="74" t="n">
        <v>6077</v>
      </c>
    </row>
    <row r="27" customFormat="false" ht="16.5" hidden="false" customHeight="true" outlineLevel="0" collapsed="false">
      <c r="C27" s="38" t="n">
        <v>9</v>
      </c>
      <c r="D27" s="70" t="s">
        <v>328</v>
      </c>
      <c r="E27" s="75" t="s">
        <v>320</v>
      </c>
      <c r="F27" s="41" t="n">
        <f aca="false">IFERROR(SUMIFS(Fonte_Dati!E:E,Fonte_Dati!D:D,D24)/1000,0)</f>
        <v>1146.88848000001</v>
      </c>
      <c r="G27" s="41" t="n">
        <f aca="false">IFERROR(SUMIFS(Fonte_Dati!F:F,Fonte_Dati!D:D,D24)/1000,0)</f>
        <v>1142.30092608001</v>
      </c>
      <c r="H27" s="24" t="n">
        <f aca="false">IFERROR(SUMIFS(Fonte_Dati!G:G,Fonte_Dati!D:D,D24),0)</f>
        <v>103510.598527708</v>
      </c>
      <c r="I27" s="24" t="n">
        <f aca="false">IFERROR(SUMIFS(Fonte_Dati!H:H,Fonte_Dati!D:D,D24),0)</f>
        <v>-228.460185216001</v>
      </c>
      <c r="J27" s="40" t="n">
        <f aca="false">IFERROR(SUMIFS(Fonte_Dati!I:I,Fonte_Dati!D:D,D24),0)</f>
        <v>103282.138342492</v>
      </c>
      <c r="K27" s="24" t="n">
        <f aca="false">IFERROR(J24/G24,0)</f>
        <v>112.612869669662</v>
      </c>
      <c r="L27" s="24" t="n">
        <f aca="false">IFERROR(J24*0.08,0)</f>
        <v>35541.31981809</v>
      </c>
      <c r="M27" s="24" t="n">
        <v>95.146684229728</v>
      </c>
      <c r="N27" s="72" t="n">
        <v>4060</v>
      </c>
    </row>
    <row r="28" customFormat="false" ht="16.5" hidden="false" customHeight="true" outlineLevel="0" collapsed="false">
      <c r="C28" s="38" t="n">
        <v>10</v>
      </c>
      <c r="D28" s="73" t="s">
        <v>329</v>
      </c>
      <c r="E28" s="75" t="s">
        <v>320</v>
      </c>
      <c r="F28" s="44" t="n">
        <f aca="false">IFERROR(SUMIFS(Fonte_Dati!E:E,Fonte_Dati!D:D,D25)/1000,0)</f>
        <v>787.129200000003</v>
      </c>
      <c r="G28" s="44" t="n">
        <f aca="false">IFERROR(SUMIFS(Fonte_Dati!F:F,Fonte_Dati!D:D,D25)/1000,0)</f>
        <v>805.233171600002</v>
      </c>
      <c r="H28" s="27" t="n">
        <f aca="false">IFERROR(SUMIFS(Fonte_Dati!G:G,Fonte_Dati!D:D,D25),0)</f>
        <v>77680.7314660169</v>
      </c>
      <c r="I28" s="27" t="n">
        <f aca="false">IFERROR(SUMIFS(Fonte_Dati!H:H,Fonte_Dati!D:D,D25),0)</f>
        <v>-161.046634320001</v>
      </c>
      <c r="J28" s="43" t="n">
        <f aca="false">IFERROR(SUMIFS(Fonte_Dati!I:I,Fonte_Dati!D:D,D25),0)</f>
        <v>77519.6848316969</v>
      </c>
      <c r="K28" s="27" t="n">
        <f aca="false">IFERROR(J25/G25,0)</f>
        <v>95.0104061310683</v>
      </c>
      <c r="L28" s="27" t="n">
        <f aca="false">IFERROR(J25*0.08,0)</f>
        <v>12007.2582991717</v>
      </c>
      <c r="M28" s="27" t="n">
        <v>95.2587570608671</v>
      </c>
      <c r="N28" s="74" t="n">
        <v>3718</v>
      </c>
    </row>
    <row r="29" customFormat="false" ht="16.5" hidden="false" customHeight="true" outlineLevel="0" collapsed="false">
      <c r="C29" s="38" t="n">
        <v>11</v>
      </c>
      <c r="D29" s="70" t="s">
        <v>324</v>
      </c>
      <c r="E29" s="75" t="s">
        <v>320</v>
      </c>
      <c r="F29" s="41" t="n">
        <f aca="false">IFERROR(SUMIFS(Fonte_Dati!E:E,Fonte_Dati!D:D,D26)/1000,0)</f>
        <v>801.507599999995</v>
      </c>
      <c r="G29" s="41" t="n">
        <f aca="false">IFERROR(SUMIFS(Fonte_Dati!F:F,Fonte_Dati!D:D,D26)/1000,0)</f>
        <v>798.301569599996</v>
      </c>
      <c r="H29" s="24" t="n">
        <f aca="false">IFERROR(SUMIFS(Fonte_Dati!G:G,Fonte_Dati!D:D,D26),0)</f>
        <v>76124.4357516161</v>
      </c>
      <c r="I29" s="24" t="n">
        <f aca="false">IFERROR(SUMIFS(Fonte_Dati!H:H,Fonte_Dati!D:D,D26),0)</f>
        <v>-159.660313919999</v>
      </c>
      <c r="J29" s="40" t="n">
        <f aca="false">IFERROR(SUMIFS(Fonte_Dati!I:I,Fonte_Dati!D:D,D26),0)</f>
        <v>75964.7754376961</v>
      </c>
      <c r="K29" s="24" t="n">
        <f aca="false">IFERROR(J26/G26,0)</f>
        <v>96.2260184924635</v>
      </c>
      <c r="L29" s="24" t="n">
        <f aca="false">IFERROR(J26*0.08,0)</f>
        <v>11843.9199245488</v>
      </c>
      <c r="M29" s="24" t="n">
        <v>91.3263767171593</v>
      </c>
      <c r="N29" s="72" t="n">
        <v>2374</v>
      </c>
    </row>
    <row r="30" customFormat="false" ht="16.5" hidden="false" customHeight="true" outlineLevel="0" collapsed="false">
      <c r="C30" s="38" t="n">
        <v>12</v>
      </c>
      <c r="D30" s="73" t="s">
        <v>325</v>
      </c>
      <c r="E30" s="75" t="s">
        <v>320</v>
      </c>
      <c r="F30" s="44" t="n">
        <f aca="false">IFERROR(SUMIFS(Fonte_Dati!E:E,Fonte_Dati!D:D,D27)/1000,0)</f>
        <v>521.4165</v>
      </c>
      <c r="G30" s="44" t="n">
        <f aca="false">IFERROR(SUMIFS(Fonte_Dati!F:F,Fonte_Dati!D:D,D27)/1000,0)</f>
        <v>533.4090795</v>
      </c>
      <c r="H30" s="27" t="n">
        <f aca="false">IFERROR(SUMIFS(Fonte_Dati!G:G,Fonte_Dati!D:D,D27),0)</f>
        <v>50858.7870683564</v>
      </c>
      <c r="I30" s="27" t="n">
        <f aca="false">IFERROR(SUMIFS(Fonte_Dati!H:H,Fonte_Dati!D:D,D27),0)</f>
        <v>-106.6818159</v>
      </c>
      <c r="J30" s="43" t="n">
        <f aca="false">IFERROR(SUMIFS(Fonte_Dati!I:I,Fonte_Dati!D:D,D27),0)</f>
        <v>50752.1052524564</v>
      </c>
      <c r="K30" s="27" t="n">
        <f aca="false">IFERROR(J27/G27,0)</f>
        <v>90.4158755232055</v>
      </c>
      <c r="L30" s="27" t="n">
        <f aca="false">IFERROR(J27*0.08,0)</f>
        <v>8262.57106739937</v>
      </c>
      <c r="M30" s="27" t="n">
        <v>90.8015695422219</v>
      </c>
      <c r="N30" s="74" t="n">
        <v>2319</v>
      </c>
    </row>
    <row r="31" customFormat="false" ht="16.5" hidden="false" customHeight="true" outlineLevel="0" collapsed="false">
      <c r="C31" s="38" t="n">
        <v>13</v>
      </c>
      <c r="D31" s="70" t="s">
        <v>327</v>
      </c>
      <c r="E31" s="75" t="s">
        <v>320</v>
      </c>
      <c r="F31" s="41" t="n">
        <f aca="false">IFERROR(SUMIFS(Fonte_Dati!E:E,Fonte_Dati!D:D,D28)/1000,0)</f>
        <v>476.966079999999</v>
      </c>
      <c r="G31" s="41" t="n">
        <f aca="false">IFERROR(SUMIFS(Fonte_Dati!F:F,Fonte_Dati!D:D,D28)/1000,0)</f>
        <v>487.936299839997</v>
      </c>
      <c r="H31" s="24" t="n">
        <f aca="false">IFERROR(SUMIFS(Fonte_Dati!G:G,Fonte_Dati!D:D,D28),0)</f>
        <v>46577.7927076047</v>
      </c>
      <c r="I31" s="24" t="n">
        <f aca="false">IFERROR(SUMIFS(Fonte_Dati!H:H,Fonte_Dati!D:D,D28),0)</f>
        <v>-97.5872599679996</v>
      </c>
      <c r="J31" s="40" t="n">
        <f aca="false">IFERROR(SUMIFS(Fonte_Dati!I:I,Fonte_Dati!D:D,D28),0)</f>
        <v>46480.2054476367</v>
      </c>
      <c r="K31" s="24" t="n">
        <f aca="false">IFERROR(J28/G28,0)</f>
        <v>96.269860166919</v>
      </c>
      <c r="L31" s="24" t="n">
        <f aca="false">IFERROR(J28*0.08,0)</f>
        <v>6201.57478653575</v>
      </c>
      <c r="M31" s="24" t="n">
        <v>115.006243257835</v>
      </c>
      <c r="N31" s="72" t="n">
        <v>698</v>
      </c>
    </row>
    <row r="32" customFormat="false" ht="15" hidden="false" customHeight="true" outlineLevel="0" collapsed="false">
      <c r="C32" s="38" t="n">
        <v>14</v>
      </c>
      <c r="D32" s="38"/>
      <c r="E32" s="38"/>
      <c r="F32" s="44" t="n">
        <f aca="false">IFERROR(SUMIFS(Fonte_Dati!E:E,Fonte_Dati!D:D,D29)/1000,0)</f>
        <v>326.175825</v>
      </c>
      <c r="G32" s="44" t="n">
        <f aca="false">IFERROR(SUMIFS(Fonte_Dati!F:F,Fonte_Dati!D:D,D29)/1000,0)</f>
        <v>324.8711217</v>
      </c>
      <c r="H32" s="27" t="n">
        <f aca="false">IFERROR(SUMIFS(Fonte_Dati!G:G,Fonte_Dati!D:D,D29),0)</f>
        <v>29734.2766692403</v>
      </c>
      <c r="I32" s="27" t="n">
        <f aca="false">IFERROR(SUMIFS(Fonte_Dati!H:H,Fonte_Dati!D:D,D29),0)</f>
        <v>-64.97422434</v>
      </c>
      <c r="J32" s="43" t="n">
        <f aca="false">IFERROR(SUMIFS(Fonte_Dati!I:I,Fonte_Dati!D:D,D29),0)</f>
        <v>29669.3024449004</v>
      </c>
      <c r="K32" s="27" t="n">
        <f aca="false">IFERROR(J29/G29,0)</f>
        <v>95.1579933329703</v>
      </c>
      <c r="L32" s="27" t="n">
        <f aca="false">IFERROR(J29*0.08,0)</f>
        <v>6077.18203501569</v>
      </c>
      <c r="M32" s="27" t="n">
        <v>94.4581181929667</v>
      </c>
      <c r="N32" s="74" t="n">
        <v>591</v>
      </c>
    </row>
    <row r="33" customFormat="false" ht="15" hidden="false" customHeight="true" outlineLevel="0" collapsed="false">
      <c r="C33" s="38" t="n">
        <v>15</v>
      </c>
      <c r="D33" s="70" t="s">
        <v>321</v>
      </c>
      <c r="E33" s="75" t="s">
        <v>320</v>
      </c>
      <c r="F33" s="41" t="n">
        <f aca="false">IFERROR(SUMIFS(Fonte_Dati!E:E,Fonte_Dati!D:D,D30)/1000,0)</f>
        <v>320.477040000006</v>
      </c>
      <c r="G33" s="41" t="n">
        <f aca="false">IFERROR(SUMIFS(Fonte_Dati!F:F,Fonte_Dati!D:D,D30)/1000,0)</f>
        <v>319.195131840006</v>
      </c>
      <c r="H33" s="24" t="n">
        <f aca="false">IFERROR(SUMIFS(Fonte_Dati!G:G,Fonte_Dati!D:D,D30),0)</f>
        <v>29047.2579876769</v>
      </c>
      <c r="I33" s="24" t="n">
        <f aca="false">IFERROR(SUMIFS(Fonte_Dati!H:H,Fonte_Dati!D:D,D30),0)</f>
        <v>-63.8390263680011</v>
      </c>
      <c r="J33" s="40" t="n">
        <f aca="false">IFERROR(SUMIFS(Fonte_Dati!I:I,Fonte_Dati!D:D,D30),0)</f>
        <v>28983.418961309</v>
      </c>
      <c r="K33" s="24" t="n">
        <f aca="false">IFERROR(J30/G30,0)</f>
        <v>95.1466842297281</v>
      </c>
      <c r="L33" s="24" t="n">
        <f aca="false">IFERROR(J30*0.08,0)</f>
        <v>4060.16842019651</v>
      </c>
      <c r="M33" s="24" t="n">
        <v>91.5597359113743</v>
      </c>
      <c r="N33" s="72" t="n">
        <v>530</v>
      </c>
    </row>
    <row r="34" customFormat="false" ht="15" hidden="false" customHeight="true" outlineLevel="0" collapsed="false">
      <c r="C34" s="38" t="n">
        <v>16</v>
      </c>
      <c r="D34" s="73" t="s">
        <v>332</v>
      </c>
      <c r="E34" s="75" t="s">
        <v>320</v>
      </c>
      <c r="F34" s="44" t="n">
        <f aca="false">IFERROR(SUMIFS(Fonte_Dati!E:E,Fonte_Dati!D:D,D31)/1000,0)</f>
        <v>76.1901599999965</v>
      </c>
      <c r="G34" s="44" t="n">
        <f aca="false">IFERROR(SUMIFS(Fonte_Dati!F:F,Fonte_Dati!D:D,D31)/1000,0)</f>
        <v>75.8853993599965</v>
      </c>
      <c r="H34" s="27" t="n">
        <f aca="false">IFERROR(SUMIFS(Fonte_Dati!G:G,Fonte_Dati!D:D,D31),0)</f>
        <v>8742.47177838569</v>
      </c>
      <c r="I34" s="27" t="n">
        <f aca="false">IFERROR(SUMIFS(Fonte_Dati!H:H,Fonte_Dati!D:D,D31),0)</f>
        <v>-15.1770798719993</v>
      </c>
      <c r="J34" s="43" t="n">
        <f aca="false">IFERROR(SUMIFS(Fonte_Dati!I:I,Fonte_Dati!D:D,D31),0)</f>
        <v>8727.29469851368</v>
      </c>
      <c r="K34" s="27" t="n">
        <f aca="false">IFERROR(J31/G31,0)</f>
        <v>95.2587570608671</v>
      </c>
      <c r="L34" s="27" t="n">
        <f aca="false">IFERROR(J31*0.08,0)</f>
        <v>3718.41643581094</v>
      </c>
      <c r="M34" s="27" t="n">
        <v>93.0821989603122</v>
      </c>
      <c r="N34" s="74" t="n">
        <v>146</v>
      </c>
    </row>
    <row r="35" customFormat="false" ht="23.25" hidden="false" customHeight="true" outlineLevel="0" collapsed="false">
      <c r="C35" s="28" t="s">
        <v>431</v>
      </c>
      <c r="D35" s="32"/>
      <c r="E35" s="32"/>
      <c r="F35" s="47" t="n">
        <f aca="false">SUM(F16:F31)</f>
        <v>27930.6786372301</v>
      </c>
      <c r="G35" s="47" t="n">
        <f aca="false">SUM(G16:G31)</f>
        <v>28034.0891179651</v>
      </c>
      <c r="H35" s="29" t="n">
        <f aca="false">SUM(H16:H31)</f>
        <v>3049620.83923684</v>
      </c>
      <c r="I35" s="29" t="n">
        <f aca="false">SUM(I16:I31)</f>
        <v>-5606.81782359302</v>
      </c>
      <c r="J35" s="29" t="n">
        <f aca="false">SUM(J16:J31)</f>
        <v>3044014.02141324</v>
      </c>
      <c r="K35" s="29" t="n">
        <f aca="false">IFERROR(J32/G32,0)</f>
        <v>91.3263767171596</v>
      </c>
      <c r="L35" s="76" t="n">
        <f aca="false">SUM(L16:L31)</f>
        <v>229665.354822036</v>
      </c>
    </row>
  </sheetData>
  <mergeCells count="35">
    <mergeCell ref="B1:N3"/>
    <mergeCell ref="B4:N4"/>
    <mergeCell ref="B5:D5"/>
    <mergeCell ref="E5:H5"/>
    <mergeCell ref="I5:K5"/>
    <mergeCell ref="L5:N5"/>
    <mergeCell ref="C6:E6"/>
    <mergeCell ref="F6:H6"/>
    <mergeCell ref="I6:K6"/>
    <mergeCell ref="L6:N6"/>
    <mergeCell ref="C7:E7"/>
    <mergeCell ref="F7:H7"/>
    <mergeCell ref="I7:K7"/>
    <mergeCell ref="L7:N7"/>
    <mergeCell ref="C8:E8"/>
    <mergeCell ref="F8:H8"/>
    <mergeCell ref="I8:K8"/>
    <mergeCell ref="L8:N8"/>
    <mergeCell ref="C10:E10"/>
    <mergeCell ref="F10:H10"/>
    <mergeCell ref="I10:K10"/>
    <mergeCell ref="L10:N10"/>
    <mergeCell ref="C11:E11"/>
    <mergeCell ref="F11:H11"/>
    <mergeCell ref="I11:K11"/>
    <mergeCell ref="L11:N11"/>
    <mergeCell ref="C12:E12"/>
    <mergeCell ref="F12:H12"/>
    <mergeCell ref="I12:K12"/>
    <mergeCell ref="L12:N12"/>
    <mergeCell ref="B13:N13"/>
    <mergeCell ref="L14:N14"/>
    <mergeCell ref="L15:N15"/>
    <mergeCell ref="L16:N16"/>
    <mergeCell ref="C32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B1:V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"/>
    <col collapsed="false" customWidth="true" hidden="false" outlineLevel="0" max="3" min="3" style="1" width="26"/>
    <col collapsed="false" customWidth="true" hidden="false" outlineLevel="0" max="4" min="4" style="1" width="12"/>
    <col collapsed="false" customWidth="true" hidden="false" outlineLevel="0" max="14" min="5" style="1" width="14"/>
    <col collapsed="false" customWidth="true" hidden="false" outlineLevel="0" max="15" min="15" style="1" width="10"/>
    <col collapsed="false" customWidth="true" hidden="false" outlineLevel="0" max="18" min="16" style="1" width="13"/>
    <col collapsed="false" customWidth="true" hidden="false" outlineLevel="0" max="22" min="19" style="1" width="12"/>
  </cols>
  <sheetData>
    <row r="1" customFormat="false" ht="15" hidden="false" customHeight="true" outlineLevel="0" collapsed="false">
      <c r="B1" s="17" t="s">
        <v>432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customFormat="false" ht="15" hidden="false" customHeight="true" outlineLevel="0" collapsed="false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customFormat="false" ht="15" hidden="false" customHeight="true" outlineLevel="0" collapsed="false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customFormat="false" ht="15" hidden="false" customHeight="true" outlineLevel="0" collapsed="false">
      <c r="B4" s="18" t="s">
        <v>433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6" customFormat="false" ht="21.75" hidden="false" customHeight="true" outlineLevel="0" collapsed="false">
      <c r="B6" s="30" t="s">
        <v>434</v>
      </c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3" t="s">
        <v>435</v>
      </c>
      <c r="P6" s="33"/>
      <c r="Q6" s="33"/>
      <c r="R6" s="33"/>
      <c r="S6" s="33"/>
      <c r="T6" s="33"/>
      <c r="U6" s="33"/>
      <c r="V6" s="33"/>
    </row>
    <row r="7" customFormat="false" ht="30" hidden="false" customHeight="true" outlineLevel="0" collapsed="false">
      <c r="B7" s="20" t="s">
        <v>345</v>
      </c>
      <c r="C7" s="20" t="s">
        <v>310</v>
      </c>
      <c r="D7" s="20" t="s">
        <v>317</v>
      </c>
      <c r="E7" s="20" t="s">
        <v>436</v>
      </c>
      <c r="F7" s="20" t="s">
        <v>437</v>
      </c>
      <c r="G7" s="20" t="s">
        <v>438</v>
      </c>
      <c r="H7" s="20" t="s">
        <v>439</v>
      </c>
      <c r="I7" s="20" t="s">
        <v>440</v>
      </c>
      <c r="J7" s="20" t="s">
        <v>441</v>
      </c>
      <c r="K7" s="20" t="s">
        <v>442</v>
      </c>
      <c r="L7" s="20" t="s">
        <v>443</v>
      </c>
      <c r="M7" s="20" t="s">
        <v>444</v>
      </c>
      <c r="N7" s="20" t="s">
        <v>445</v>
      </c>
      <c r="O7" s="77" t="s">
        <v>446</v>
      </c>
      <c r="P7" s="36" t="s">
        <v>447</v>
      </c>
      <c r="Q7" s="36" t="s">
        <v>448</v>
      </c>
      <c r="R7" s="36" t="s">
        <v>449</v>
      </c>
      <c r="S7" s="20" t="s">
        <v>450</v>
      </c>
      <c r="T7" s="20" t="s">
        <v>451</v>
      </c>
      <c r="U7" s="20" t="s">
        <v>452</v>
      </c>
      <c r="V7" s="37" t="s">
        <v>453</v>
      </c>
    </row>
    <row r="8" customFormat="false" ht="16.5" hidden="false" customHeight="true" outlineLevel="0" collapsed="false">
      <c r="B8" s="38" t="n">
        <v>1</v>
      </c>
      <c r="C8" s="70" t="s">
        <v>336</v>
      </c>
      <c r="D8" s="71" t="s">
        <v>334</v>
      </c>
      <c r="E8" s="23" t="n">
        <f aca="false">IFERROR(SUMIFS(Fonte_Dati!E:E,Fonte_Dati!D:D,C8,Fonte_Dati!C:C,"Gennaio")/1000,0)</f>
        <v>4716.69521352058</v>
      </c>
      <c r="F8" s="23" t="n">
        <f aca="false">IFERROR(SUMIFS(Fonte_Dati!E:E,Fonte_Dati!D:D,C8,Fonte_Dati!C:C,"Febbraio")/1000,0)</f>
        <v>4379.17985288061</v>
      </c>
      <c r="G8" s="23" t="n">
        <f aca="false">IFERROR(SUMIFS(Fonte_Dati!E:E,Fonte_Dati!D:D,C8,Fonte_Dati!C:C,"Marzo")/1000,0)</f>
        <v>0.348540819228402</v>
      </c>
      <c r="H8" s="78" t="n">
        <f aca="false">SUM(E8:G8)</f>
        <v>9096.22360722042</v>
      </c>
      <c r="I8" s="42" t="n">
        <f aca="false">IFERROR(E8/H8,0)</f>
        <v>0.518533340558664</v>
      </c>
      <c r="J8" s="41" t="n">
        <f aca="false">IFERROR(F8-E8,0)</f>
        <v>-337.51536063997</v>
      </c>
      <c r="K8" s="42" t="n">
        <f aca="false">IFERROR((F8-E8)/E8,"-")</f>
        <v>-0.0715575939001676</v>
      </c>
      <c r="L8" s="24" t="n">
        <f aca="false">IFERROR(SUMIFS(Fonte_Dati!I:I,Fonte_Dati!D:D,C8,Fonte_Dati!C:C,"Gennaio")/(SUMIFS(Fonte_Dati!F:F,Fonte_Dati!D:D,C8,Fonte_Dati!C:C,"Gennaio")/1000),0)</f>
        <v>124.7542556064</v>
      </c>
      <c r="M8" s="24" t="n">
        <f aca="false">IFERROR(SUMIFS(Fonte_Dati!I:I,Fonte_Dati!D:D,C8,Fonte_Dati!C:C,"Febbraio")/(SUMIFS(Fonte_Dati!F:F,Fonte_Dati!D:D,C8,Fonte_Dati!C:C,"Febbraio")/1000),0)</f>
        <v>103.290355168678</v>
      </c>
      <c r="N8" s="40" t="n">
        <f aca="false">IFERROR(SUMIFS(Fonte_Dati!I:I,Fonte_Dati!D:D,C8)/(SUMIFS(Fonte_Dati!F:F,Fonte_Dati!D:D,C8)/1000),0)</f>
        <v>114.420798519876</v>
      </c>
      <c r="O8" s="72" t="n">
        <f aca="false">IFERROR(VLOOKUP(C8,DB_Impianti!C:K,9,0),"")</f>
        <v>0</v>
      </c>
      <c r="P8" s="79" t="str">
        <f aca="false">IFERROR(VLOOKUP(C8,Irraggiamento_PVGIS!C50:H65,3,0),"")</f>
        <v/>
      </c>
      <c r="Q8" s="79" t="str">
        <f aca="false">IFERROR(VLOOKUP(C8,Irraggiamento_PVGIS!C50:H65,4,0),"")</f>
        <v/>
      </c>
      <c r="R8" s="79" t="str">
        <f aca="false">IFERROR(VLOOKUP(C8,Irraggiamento_PVGIS!C50:H65,5,0),"")</f>
        <v/>
      </c>
      <c r="S8" s="80" t="str">
        <f aca="false">IFERROR((E8*1000)/(P8*O8),"")</f>
        <v/>
      </c>
      <c r="T8" s="80" t="str">
        <f aca="false">IFERROR((F8*1000)/(Q8*O8),"")</f>
        <v/>
      </c>
      <c r="U8" s="80" t="str">
        <f aca="false">IFERROR((G8*1000)/(R8*O8),"")</f>
        <v/>
      </c>
      <c r="V8" s="81" t="str">
        <f aca="false">IFERROR((H8*1000)/(VLOOKUP(C8,Irraggiamento_PVGIS!C50:H65,6,0)*O8),"")</f>
        <v/>
      </c>
    </row>
    <row r="9" customFormat="false" ht="16.5" hidden="false" customHeight="true" outlineLevel="0" collapsed="false">
      <c r="B9" s="38" t="n">
        <v>2</v>
      </c>
      <c r="C9" s="73" t="s">
        <v>333</v>
      </c>
      <c r="D9" s="71" t="s">
        <v>334</v>
      </c>
      <c r="E9" s="26" t="n">
        <f aca="false">IFERROR(SUMIFS(Fonte_Dati!E:E,Fonte_Dati!D:D,C9,Fonte_Dati!C:C,"Gennaio")/1000,0)</f>
        <v>3977.12271329138</v>
      </c>
      <c r="F9" s="26" t="n">
        <f aca="false">IFERROR(SUMIFS(Fonte_Dati!E:E,Fonte_Dati!D:D,C9,Fonte_Dati!C:C,"Febbraio")/1000,0)</f>
        <v>4130.19211004309</v>
      </c>
      <c r="G9" s="26" t="n">
        <f aca="false">IFERROR(SUMIFS(Fonte_Dati!E:E,Fonte_Dati!D:D,C9,Fonte_Dati!C:C,"Marzo")/1000,0)</f>
        <v>0</v>
      </c>
      <c r="H9" s="82" t="n">
        <f aca="false">SUM(E9:G9)</f>
        <v>8107.31482333447</v>
      </c>
      <c r="I9" s="45" t="n">
        <f aca="false">IFERROR(E9/H9,0)</f>
        <v>0.490559796918756</v>
      </c>
      <c r="J9" s="44" t="n">
        <f aca="false">IFERROR(F9-E9,0)</f>
        <v>153.06939675171</v>
      </c>
      <c r="K9" s="45" t="n">
        <f aca="false">IFERROR((F9-E9)/E9,"-")</f>
        <v>0.0384874714175045</v>
      </c>
      <c r="L9" s="27" t="n">
        <f aca="false">IFERROR(SUMIFS(Fonte_Dati!I:I,Fonte_Dati!D:D,C9,Fonte_Dati!C:C,"Gennaio")/(SUMIFS(Fonte_Dati!F:F,Fonte_Dati!D:D,C9,Fonte_Dati!C:C,"Gennaio")/1000),0)</f>
        <v>120.792626068098</v>
      </c>
      <c r="M9" s="27" t="n">
        <f aca="false">IFERROR(SUMIFS(Fonte_Dati!I:I,Fonte_Dati!D:D,C9,Fonte_Dati!C:C,"Febbraio")/(SUMIFS(Fonte_Dati!F:F,Fonte_Dati!D:D,C9,Fonte_Dati!C:C,"Febbraio")/1000),0)</f>
        <v>103.240646580915</v>
      </c>
      <c r="N9" s="43" t="n">
        <f aca="false">IFERROR(SUMIFS(Fonte_Dati!I:I,Fonte_Dati!D:D,C9)/(SUMIFS(Fonte_Dati!F:F,Fonte_Dati!D:D,C9)/1000),0)</f>
        <v>111.85094207367</v>
      </c>
      <c r="O9" s="74" t="n">
        <f aca="false">IFERROR(VLOOKUP(C9,DB_Impianti!C:K,9,0),"")</f>
        <v>0</v>
      </c>
      <c r="P9" s="83" t="str">
        <f aca="false">IFERROR(VLOOKUP(C9,Irraggiamento_PVGIS!C50:H65,3,0),"")</f>
        <v/>
      </c>
      <c r="Q9" s="83" t="str">
        <f aca="false">IFERROR(VLOOKUP(C9,Irraggiamento_PVGIS!C50:H65,4,0),"")</f>
        <v/>
      </c>
      <c r="R9" s="83" t="str">
        <f aca="false">IFERROR(VLOOKUP(C9,Irraggiamento_PVGIS!C50:H65,5,0),"")</f>
        <v/>
      </c>
      <c r="S9" s="84" t="str">
        <f aca="false">IFERROR((E9*1000)/(P9*O9),"")</f>
        <v/>
      </c>
      <c r="T9" s="84" t="str">
        <f aca="false">IFERROR((F9*1000)/(Q9*O9),"")</f>
        <v/>
      </c>
      <c r="U9" s="84" t="str">
        <f aca="false">IFERROR((G9*1000)/(R9*O9),"")</f>
        <v/>
      </c>
      <c r="V9" s="81" t="str">
        <f aca="false">IFERROR((H9*1000)/(VLOOKUP(C9,Irraggiamento_PVGIS!C50:H65,6,0)*O9),"")</f>
        <v/>
      </c>
    </row>
    <row r="10" customFormat="false" ht="16.5" hidden="false" customHeight="true" outlineLevel="0" collapsed="false">
      <c r="B10" s="38" t="n">
        <v>3</v>
      </c>
      <c r="C10" s="70" t="s">
        <v>335</v>
      </c>
      <c r="D10" s="71" t="s">
        <v>334</v>
      </c>
      <c r="E10" s="23" t="n">
        <f aca="false">IFERROR(SUMIFS(Fonte_Dati!E:E,Fonte_Dati!D:D,C10,Fonte_Dati!C:C,"Gennaio")/1000,0)</f>
        <v>1906.8541571099</v>
      </c>
      <c r="F10" s="23" t="n">
        <f aca="false">IFERROR(SUMIFS(Fonte_Dati!E:E,Fonte_Dati!D:D,C10,Fonte_Dati!C:C,"Febbraio")/1000,0)</f>
        <v>2037.27916016772</v>
      </c>
      <c r="G10" s="23" t="n">
        <f aca="false">IFERROR(SUMIFS(Fonte_Dati!E:E,Fonte_Dati!D:D,C10,Fonte_Dati!C:C,"Marzo")/1000,0)</f>
        <v>0.922949397590387</v>
      </c>
      <c r="H10" s="78" t="n">
        <f aca="false">SUM(E10:G10)</f>
        <v>3945.05626667521</v>
      </c>
      <c r="I10" s="42" t="n">
        <f aca="false">IFERROR(E10/H10,0)</f>
        <v>0.483352841686323</v>
      </c>
      <c r="J10" s="41" t="n">
        <f aca="false">IFERROR(F10-E10,0)</f>
        <v>130.42500305782</v>
      </c>
      <c r="K10" s="42" t="n">
        <f aca="false">IFERROR((F10-E10)/E10,"-")</f>
        <v>0.0683979960247705</v>
      </c>
      <c r="L10" s="24" t="n">
        <f aca="false">IFERROR(SUMIFS(Fonte_Dati!I:I,Fonte_Dati!D:D,C10,Fonte_Dati!C:C,"Gennaio")/(SUMIFS(Fonte_Dati!F:F,Fonte_Dati!D:D,C10,Fonte_Dati!C:C,"Gennaio")/1000),0)</f>
        <v>119.023326080326</v>
      </c>
      <c r="M10" s="24" t="n">
        <f aca="false">IFERROR(SUMIFS(Fonte_Dati!I:I,Fonte_Dati!D:D,C10,Fonte_Dati!C:C,"Febbraio")/(SUMIFS(Fonte_Dati!F:F,Fonte_Dati!D:D,C10,Fonte_Dati!C:C,"Febbraio")/1000),0)</f>
        <v>106.608788833839</v>
      </c>
      <c r="N10" s="40" t="n">
        <f aca="false">IFERROR(SUMIFS(Fonte_Dati!I:I,Fonte_Dati!D:D,C10)/(SUMIFS(Fonte_Dati!F:F,Fonte_Dati!D:D,C10)/1000),0)</f>
        <v>112.612869669662</v>
      </c>
      <c r="O10" s="72" t="n">
        <f aca="false">IFERROR(VLOOKUP(C10,DB_Impianti!C:K,9,0),"")</f>
        <v>0</v>
      </c>
      <c r="P10" s="79" t="str">
        <f aca="false">IFERROR(VLOOKUP(C10,Irraggiamento_PVGIS!C50:H65,3,0),"")</f>
        <v/>
      </c>
      <c r="Q10" s="79" t="str">
        <f aca="false">IFERROR(VLOOKUP(C10,Irraggiamento_PVGIS!C50:H65,4,0),"")</f>
        <v/>
      </c>
      <c r="R10" s="79" t="str">
        <f aca="false">IFERROR(VLOOKUP(C10,Irraggiamento_PVGIS!C50:H65,5,0),"")</f>
        <v/>
      </c>
      <c r="S10" s="80" t="str">
        <f aca="false">IFERROR((E10*1000)/(P10*O10),"")</f>
        <v/>
      </c>
      <c r="T10" s="80" t="str">
        <f aca="false">IFERROR((F10*1000)/(Q10*O10),"")</f>
        <v/>
      </c>
      <c r="U10" s="80" t="str">
        <f aca="false">IFERROR((G10*1000)/(R10*O10),"")</f>
        <v/>
      </c>
      <c r="V10" s="81" t="str">
        <f aca="false">IFERROR((H10*1000)/(VLOOKUP(C10,Irraggiamento_PVGIS!C50:H65,6,0)*O10),"")</f>
        <v/>
      </c>
    </row>
    <row r="11" customFormat="false" ht="16.5" hidden="false" customHeight="true" outlineLevel="0" collapsed="false">
      <c r="B11" s="38" t="n">
        <v>4</v>
      </c>
      <c r="C11" s="73" t="s">
        <v>323</v>
      </c>
      <c r="D11" s="75" t="s">
        <v>320</v>
      </c>
      <c r="E11" s="26" t="n">
        <f aca="false">IFERROR(SUMIFS(Fonte_Dati!E:E,Fonte_Dati!D:D,C11,Fonte_Dati!C:C,"Gennaio")/1000,0)</f>
        <v>629.425759999999</v>
      </c>
      <c r="F11" s="26" t="n">
        <f aca="false">IFERROR(SUMIFS(Fonte_Dati!E:E,Fonte_Dati!D:D,C11,Fonte_Dati!C:C,"Febbraio")/1000,0)</f>
        <v>914.786720000001</v>
      </c>
      <c r="G11" s="26" t="n">
        <f aca="false">IFERROR(SUMIFS(Fonte_Dati!E:E,Fonte_Dati!D:D,C11,Fonte_Dati!C:C,"Marzo")/1000,0)</f>
        <v>0</v>
      </c>
      <c r="H11" s="82" t="n">
        <f aca="false">SUM(E11:G11)</f>
        <v>1544.21248</v>
      </c>
      <c r="I11" s="45" t="n">
        <f aca="false">IFERROR(E11/H11,0)</f>
        <v>0.407603078042731</v>
      </c>
      <c r="J11" s="44" t="n">
        <f aca="false">IFERROR(F11-E11,0)</f>
        <v>285.360960000002</v>
      </c>
      <c r="K11" s="45" t="n">
        <f aca="false">IFERROR((F11-E11)/E11,"-")</f>
        <v>0.453367145316713</v>
      </c>
      <c r="L11" s="27" t="n">
        <f aca="false">IFERROR(SUMIFS(Fonte_Dati!I:I,Fonte_Dati!D:D,C11,Fonte_Dati!C:C,"Gennaio")/(SUMIFS(Fonte_Dati!F:F,Fonte_Dati!D:D,C11,Fonte_Dati!C:C,"Gennaio")/1000),0)</f>
        <v>119.010094475121</v>
      </c>
      <c r="M11" s="27" t="n">
        <f aca="false">IFERROR(SUMIFS(Fonte_Dati!I:I,Fonte_Dati!D:D,C11,Fonte_Dati!C:C,"Febbraio")/(SUMIFS(Fonte_Dati!F:F,Fonte_Dati!D:D,C11,Fonte_Dati!C:C,"Febbraio")/1000),0)</f>
        <v>78.4972432861611</v>
      </c>
      <c r="N11" s="43" t="n">
        <f aca="false">IFERROR(SUMIFS(Fonte_Dati!I:I,Fonte_Dati!D:D,C11)/(SUMIFS(Fonte_Dati!F:F,Fonte_Dati!D:D,C11)/1000),0)</f>
        <v>95.0104061310683</v>
      </c>
      <c r="O11" s="74" t="n">
        <f aca="false">IFERROR(VLOOKUP(C11,DB_Impianti!C:K,9,0),"")</f>
        <v>0</v>
      </c>
      <c r="P11" s="83" t="n">
        <f aca="false">IFERROR(VLOOKUP(C11,Irraggiamento_PVGIS!C50:H65,3,0),"")</f>
        <v>0</v>
      </c>
      <c r="Q11" s="83" t="n">
        <f aca="false">IFERROR(VLOOKUP(C11,Irraggiamento_PVGIS!C50:H65,4,0),"")</f>
        <v>0</v>
      </c>
      <c r="R11" s="83" t="n">
        <f aca="false">IFERROR(VLOOKUP(C11,Irraggiamento_PVGIS!C50:H65,5,0),"")</f>
        <v>0</v>
      </c>
      <c r="S11" s="84" t="str">
        <f aca="false">IFERROR((E11*1000)/(P11*O11),"")</f>
        <v/>
      </c>
      <c r="T11" s="84" t="str">
        <f aca="false">IFERROR((F11*1000)/(Q11*O11),"")</f>
        <v/>
      </c>
      <c r="U11" s="84" t="str">
        <f aca="false">IFERROR((G11*1000)/(R11*O11),"")</f>
        <v/>
      </c>
      <c r="V11" s="81" t="str">
        <f aca="false">IFERROR((H11*1000)/(VLOOKUP(C11,Irraggiamento_PVGIS!C50:H65,6,0)*O11),"")</f>
        <v/>
      </c>
    </row>
    <row r="12" customFormat="false" ht="16.5" hidden="false" customHeight="true" outlineLevel="0" collapsed="false">
      <c r="B12" s="38" t="n">
        <v>5</v>
      </c>
      <c r="C12" s="70" t="s">
        <v>322</v>
      </c>
      <c r="D12" s="75" t="s">
        <v>320</v>
      </c>
      <c r="E12" s="23" t="n">
        <f aca="false">IFERROR(SUMIFS(Fonte_Dati!E:E,Fonte_Dati!D:D,C12,Fonte_Dati!C:C,"Gennaio")/1000,0)</f>
        <v>652.4864</v>
      </c>
      <c r="F12" s="23" t="n">
        <f aca="false">IFERROR(SUMIFS(Fonte_Dati!E:E,Fonte_Dati!D:D,C12,Fonte_Dati!C:C,"Febbraio")/1000,0)</f>
        <v>851.4772</v>
      </c>
      <c r="G12" s="23" t="n">
        <f aca="false">IFERROR(SUMIFS(Fonte_Dati!E:E,Fonte_Dati!D:D,C12,Fonte_Dati!C:C,"Marzo")/1000,0)</f>
        <v>0</v>
      </c>
      <c r="H12" s="78" t="n">
        <f aca="false">SUM(E12:G12)</f>
        <v>1503.9636</v>
      </c>
      <c r="I12" s="42" t="n">
        <f aca="false">IFERROR(E12/H12,0)</f>
        <v>0.433844542514194</v>
      </c>
      <c r="J12" s="41" t="n">
        <f aca="false">IFERROR(F12-E12,0)</f>
        <v>198.9908</v>
      </c>
      <c r="K12" s="42" t="n">
        <f aca="false">IFERROR((F12-E12)/E12,"-")</f>
        <v>0.304973099822464</v>
      </c>
      <c r="L12" s="24" t="n">
        <f aca="false">IFERROR(SUMIFS(Fonte_Dati!I:I,Fonte_Dati!D:D,C12,Fonte_Dati!C:C,"Gennaio")/(SUMIFS(Fonte_Dati!F:F,Fonte_Dati!D:D,C12,Fonte_Dati!C:C,"Gennaio")/1000),0)</f>
        <v>118.405503195702</v>
      </c>
      <c r="M12" s="24" t="n">
        <f aca="false">IFERROR(SUMIFS(Fonte_Dati!I:I,Fonte_Dati!D:D,C12,Fonte_Dati!C:C,"Febbraio")/(SUMIFS(Fonte_Dati!F:F,Fonte_Dati!D:D,C12,Fonte_Dati!C:C,"Febbraio")/1000),0)</f>
        <v>79.2298944296336</v>
      </c>
      <c r="N12" s="40" t="n">
        <f aca="false">IFERROR(SUMIFS(Fonte_Dati!I:I,Fonte_Dati!D:D,C12)/(SUMIFS(Fonte_Dati!F:F,Fonte_Dati!D:D,C12)/1000),0)</f>
        <v>96.2260184924635</v>
      </c>
      <c r="O12" s="72" t="n">
        <f aca="false">IFERROR(VLOOKUP(C12,DB_Impianti!C:K,9,0),"")</f>
        <v>0</v>
      </c>
      <c r="P12" s="79" t="n">
        <f aca="false">IFERROR(VLOOKUP(C12,Irraggiamento_PVGIS!C50:H65,3,0),"")</f>
        <v>0</v>
      </c>
      <c r="Q12" s="79" t="n">
        <f aca="false">IFERROR(VLOOKUP(C12,Irraggiamento_PVGIS!C50:H65,4,0),"")</f>
        <v>0</v>
      </c>
      <c r="R12" s="79" t="n">
        <f aca="false">IFERROR(VLOOKUP(C12,Irraggiamento_PVGIS!C50:H65,5,0),"")</f>
        <v>0</v>
      </c>
      <c r="S12" s="80" t="str">
        <f aca="false">IFERROR((E12*1000)/(P12*O12),"")</f>
        <v/>
      </c>
      <c r="T12" s="80" t="str">
        <f aca="false">IFERROR((F12*1000)/(Q12*O12),"")</f>
        <v/>
      </c>
      <c r="U12" s="80" t="str">
        <f aca="false">IFERROR((G12*1000)/(R12*O12),"")</f>
        <v/>
      </c>
      <c r="V12" s="81" t="str">
        <f aca="false">IFERROR((H12*1000)/(VLOOKUP(C12,Irraggiamento_PVGIS!C50:H65,6,0)*O12),"")</f>
        <v/>
      </c>
    </row>
    <row r="13" customFormat="false" ht="16.5" hidden="false" customHeight="true" outlineLevel="0" collapsed="false">
      <c r="B13" s="38" t="n">
        <v>6</v>
      </c>
      <c r="C13" s="73" t="s">
        <v>319</v>
      </c>
      <c r="D13" s="75" t="s">
        <v>320</v>
      </c>
      <c r="E13" s="26" t="n">
        <f aca="false">IFERROR(SUMIFS(Fonte_Dati!E:E,Fonte_Dati!D:D,C13,Fonte_Dati!C:C,"Gennaio")/1000,0)</f>
        <v>425.76024</v>
      </c>
      <c r="F13" s="26" t="n">
        <f aca="false">IFERROR(SUMIFS(Fonte_Dati!E:E,Fonte_Dati!D:D,C13,Fonte_Dati!C:C,"Febbraio")/1000,0)</f>
        <v>721.128240000005</v>
      </c>
      <c r="G13" s="26" t="n">
        <f aca="false">IFERROR(SUMIFS(Fonte_Dati!E:E,Fonte_Dati!D:D,C13,Fonte_Dati!C:C,"Marzo")/1000,0)</f>
        <v>0</v>
      </c>
      <c r="H13" s="82" t="n">
        <f aca="false">SUM(E13:G13)</f>
        <v>1146.88848000001</v>
      </c>
      <c r="I13" s="45" t="n">
        <f aca="false">IFERROR(E13/H13,0)</f>
        <v>0.371230723321938</v>
      </c>
      <c r="J13" s="44" t="n">
        <f aca="false">IFERROR(F13-E13,0)</f>
        <v>295.368000000005</v>
      </c>
      <c r="K13" s="45" t="n">
        <f aca="false">IFERROR((F13-E13)/E13,"-")</f>
        <v>0.693742562715591</v>
      </c>
      <c r="L13" s="27" t="n">
        <f aca="false">IFERROR(SUMIFS(Fonte_Dati!I:I,Fonte_Dati!D:D,C13,Fonte_Dati!C:C,"Gennaio")/(SUMIFS(Fonte_Dati!F:F,Fonte_Dati!D:D,C13,Fonte_Dati!C:C,"Gennaio")/1000),0)</f>
        <v>111.657609702644</v>
      </c>
      <c r="M13" s="27" t="n">
        <f aca="false">IFERROR(SUMIFS(Fonte_Dati!I:I,Fonte_Dati!D:D,C13,Fonte_Dati!C:C,"Febbraio")/(SUMIFS(Fonte_Dati!F:F,Fonte_Dati!D:D,C13,Fonte_Dati!C:C,"Febbraio")/1000),0)</f>
        <v>77.8745751821539</v>
      </c>
      <c r="N13" s="43" t="n">
        <f aca="false">IFERROR(SUMIFS(Fonte_Dati!I:I,Fonte_Dati!D:D,C13)/(SUMIFS(Fonte_Dati!F:F,Fonte_Dati!D:D,C13)/1000),0)</f>
        <v>90.4158755232055</v>
      </c>
      <c r="O13" s="74" t="n">
        <f aca="false">IFERROR(VLOOKUP(C13,DB_Impianti!C:K,9,0),"")</f>
        <v>0</v>
      </c>
      <c r="P13" s="83" t="n">
        <f aca="false">IFERROR(VLOOKUP(C13,Irraggiamento_PVGIS!C50:H65,3,0),"")</f>
        <v>0</v>
      </c>
      <c r="Q13" s="83" t="n">
        <f aca="false">IFERROR(VLOOKUP(C13,Irraggiamento_PVGIS!C50:H65,4,0),"")</f>
        <v>0</v>
      </c>
      <c r="R13" s="83" t="n">
        <f aca="false">IFERROR(VLOOKUP(C13,Irraggiamento_PVGIS!C50:H65,5,0),"")</f>
        <v>0</v>
      </c>
      <c r="S13" s="84" t="str">
        <f aca="false">IFERROR((E13*1000)/(P13*O13),"")</f>
        <v/>
      </c>
      <c r="T13" s="84" t="str">
        <f aca="false">IFERROR((F13*1000)/(Q13*O13),"")</f>
        <v/>
      </c>
      <c r="U13" s="84" t="str">
        <f aca="false">IFERROR((G13*1000)/(R13*O13),"")</f>
        <v/>
      </c>
      <c r="V13" s="81" t="str">
        <f aca="false">IFERROR((H13*1000)/(VLOOKUP(C13,Irraggiamento_PVGIS!C50:H65,6,0)*O13),"")</f>
        <v/>
      </c>
    </row>
    <row r="14" customFormat="false" ht="16.5" hidden="false" customHeight="true" outlineLevel="0" collapsed="false">
      <c r="B14" s="38" t="n">
        <v>7</v>
      </c>
      <c r="C14" s="70" t="s">
        <v>331</v>
      </c>
      <c r="D14" s="75" t="s">
        <v>320</v>
      </c>
      <c r="E14" s="23" t="n">
        <f aca="false">IFERROR(SUMIFS(Fonte_Dati!E:E,Fonte_Dati!D:D,C14,Fonte_Dati!C:C,"Gennaio")/1000,0)</f>
        <v>356.199600000007</v>
      </c>
      <c r="F14" s="23" t="n">
        <f aca="false">IFERROR(SUMIFS(Fonte_Dati!E:E,Fonte_Dati!D:D,C14,Fonte_Dati!C:C,"Febbraio")/1000,0)</f>
        <v>430.929599999996</v>
      </c>
      <c r="G14" s="23" t="n">
        <f aca="false">IFERROR(SUMIFS(Fonte_Dati!E:E,Fonte_Dati!D:D,C14,Fonte_Dati!C:C,"Marzo")/1000,0)</f>
        <v>0</v>
      </c>
      <c r="H14" s="78" t="n">
        <f aca="false">SUM(E14:G14)</f>
        <v>787.129200000003</v>
      </c>
      <c r="I14" s="42" t="n">
        <f aca="false">IFERROR(E14/H14,0)</f>
        <v>0.452530029377649</v>
      </c>
      <c r="J14" s="41" t="n">
        <f aca="false">IFERROR(F14-E14,0)</f>
        <v>74.729999999989</v>
      </c>
      <c r="K14" s="42" t="n">
        <f aca="false">IFERROR((F14-E14)/E14,"-")</f>
        <v>0.209798101963022</v>
      </c>
      <c r="L14" s="24" t="n">
        <f aca="false">IFERROR(SUMIFS(Fonte_Dati!I:I,Fonte_Dati!D:D,C14,Fonte_Dati!C:C,"Gennaio")/(SUMIFS(Fonte_Dati!F:F,Fonte_Dati!D:D,C14,Fonte_Dati!C:C,"Gennaio")/1000),0)</f>
        <v>118.573652117821</v>
      </c>
      <c r="M14" s="24" t="n">
        <f aca="false">IFERROR(SUMIFS(Fonte_Dati!I:I,Fonte_Dati!D:D,C14,Fonte_Dati!C:C,"Febbraio")/(SUMIFS(Fonte_Dati!F:F,Fonte_Dati!D:D,C14,Fonte_Dati!C:C,"Febbraio")/1000),0)</f>
        <v>77.8338980714987</v>
      </c>
      <c r="N14" s="40" t="n">
        <f aca="false">IFERROR(SUMIFS(Fonte_Dati!I:I,Fonte_Dati!D:D,C14)/(SUMIFS(Fonte_Dati!F:F,Fonte_Dati!D:D,C14)/1000),0)</f>
        <v>96.269860166919</v>
      </c>
      <c r="O14" s="72" t="n">
        <f aca="false">IFERROR(VLOOKUP(C14,DB_Impianti!C:K,9,0),"")</f>
        <v>0</v>
      </c>
      <c r="P14" s="79" t="n">
        <f aca="false">IFERROR(VLOOKUP(C14,Irraggiamento_PVGIS!C50:H65,3,0),"")</f>
        <v>0</v>
      </c>
      <c r="Q14" s="79" t="n">
        <f aca="false">IFERROR(VLOOKUP(C14,Irraggiamento_PVGIS!C50:H65,4,0),"")</f>
        <v>0</v>
      </c>
      <c r="R14" s="79" t="n">
        <f aca="false">IFERROR(VLOOKUP(C14,Irraggiamento_PVGIS!C50:H65,5,0),"")</f>
        <v>0</v>
      </c>
      <c r="S14" s="80" t="str">
        <f aca="false">IFERROR((E14*1000)/(P14*O14),"")</f>
        <v/>
      </c>
      <c r="T14" s="80" t="str">
        <f aca="false">IFERROR((F14*1000)/(Q14*O14),"")</f>
        <v/>
      </c>
      <c r="U14" s="80" t="str">
        <f aca="false">IFERROR((G14*1000)/(R14*O14),"")</f>
        <v/>
      </c>
      <c r="V14" s="81" t="str">
        <f aca="false">IFERROR((H14*1000)/(VLOOKUP(C14,Irraggiamento_PVGIS!C50:H65,6,0)*O14),"")</f>
        <v/>
      </c>
    </row>
    <row r="15" customFormat="false" ht="16.5" hidden="false" customHeight="true" outlineLevel="0" collapsed="false">
      <c r="B15" s="38" t="n">
        <v>8</v>
      </c>
      <c r="C15" s="73" t="s">
        <v>330</v>
      </c>
      <c r="D15" s="75" t="s">
        <v>320</v>
      </c>
      <c r="E15" s="26" t="n">
        <f aca="false">IFERROR(SUMIFS(Fonte_Dati!E:E,Fonte_Dati!D:D,C15,Fonte_Dati!C:C,"Gennaio")/1000,0)</f>
        <v>353.361600000007</v>
      </c>
      <c r="F15" s="26" t="n">
        <f aca="false">IFERROR(SUMIFS(Fonte_Dati!E:E,Fonte_Dati!D:D,C15,Fonte_Dati!C:C,"Febbraio")/1000,0)</f>
        <v>448.145999999988</v>
      </c>
      <c r="G15" s="26" t="n">
        <f aca="false">IFERROR(SUMIFS(Fonte_Dati!E:E,Fonte_Dati!D:D,C15,Fonte_Dati!C:C,"Marzo")/1000,0)</f>
        <v>0</v>
      </c>
      <c r="H15" s="82" t="n">
        <f aca="false">SUM(E15:G15)</f>
        <v>801.507599999995</v>
      </c>
      <c r="I15" s="45" t="n">
        <f aca="false">IFERROR(E15/H15,0)</f>
        <v>0.440871178264572</v>
      </c>
      <c r="J15" s="44" t="n">
        <f aca="false">IFERROR(F15-E15,0)</f>
        <v>94.784399999981</v>
      </c>
      <c r="K15" s="45" t="n">
        <f aca="false">IFERROR((F15-E15)/E15,"-")</f>
        <v>0.268236276946842</v>
      </c>
      <c r="L15" s="27" t="n">
        <f aca="false">IFERROR(SUMIFS(Fonte_Dati!I:I,Fonte_Dati!D:D,C15,Fonte_Dati!C:C,"Gennaio")/(SUMIFS(Fonte_Dati!F:F,Fonte_Dati!D:D,C15,Fonte_Dati!C:C,"Gennaio")/1000),0)</f>
        <v>117.946122677982</v>
      </c>
      <c r="M15" s="27" t="n">
        <f aca="false">IFERROR(SUMIFS(Fonte_Dati!I:I,Fonte_Dati!D:D,C15,Fonte_Dati!C:C,"Febbraio")/(SUMIFS(Fonte_Dati!F:F,Fonte_Dati!D:D,C15,Fonte_Dati!C:C,"Febbraio")/1000),0)</f>
        <v>77.1896306869562</v>
      </c>
      <c r="N15" s="43" t="n">
        <f aca="false">IFERROR(SUMIFS(Fonte_Dati!I:I,Fonte_Dati!D:D,C15)/(SUMIFS(Fonte_Dati!F:F,Fonte_Dati!D:D,C15)/1000),0)</f>
        <v>95.1579933329703</v>
      </c>
      <c r="O15" s="74" t="n">
        <f aca="false">IFERROR(VLOOKUP(C15,DB_Impianti!C:K,9,0),"")</f>
        <v>0</v>
      </c>
      <c r="P15" s="83" t="n">
        <f aca="false">IFERROR(VLOOKUP(C15,Irraggiamento_PVGIS!C50:H65,3,0),"")</f>
        <v>0</v>
      </c>
      <c r="Q15" s="83" t="n">
        <f aca="false">IFERROR(VLOOKUP(C15,Irraggiamento_PVGIS!C50:H65,4,0),"")</f>
        <v>0</v>
      </c>
      <c r="R15" s="83" t="n">
        <f aca="false">IFERROR(VLOOKUP(C15,Irraggiamento_PVGIS!C50:H65,5,0),"")</f>
        <v>0</v>
      </c>
      <c r="S15" s="84" t="str">
        <f aca="false">IFERROR((E15*1000)/(P15*O15),"")</f>
        <v/>
      </c>
      <c r="T15" s="84" t="str">
        <f aca="false">IFERROR((F15*1000)/(Q15*O15),"")</f>
        <v/>
      </c>
      <c r="U15" s="84" t="str">
        <f aca="false">IFERROR((G15*1000)/(R15*O15),"")</f>
        <v/>
      </c>
      <c r="V15" s="81" t="str">
        <f aca="false">IFERROR((H15*1000)/(VLOOKUP(C15,Irraggiamento_PVGIS!C50:H65,6,0)*O15),"")</f>
        <v/>
      </c>
    </row>
    <row r="16" customFormat="false" ht="16.5" hidden="false" customHeight="true" outlineLevel="0" collapsed="false">
      <c r="B16" s="38" t="n">
        <v>9</v>
      </c>
      <c r="C16" s="70" t="s">
        <v>328</v>
      </c>
      <c r="D16" s="75" t="s">
        <v>320</v>
      </c>
      <c r="E16" s="23" t="n">
        <f aca="false">IFERROR(SUMIFS(Fonte_Dati!E:E,Fonte_Dati!D:D,C16,Fonte_Dati!C:C,"Gennaio")/1000,0)</f>
        <v>209.75475</v>
      </c>
      <c r="F16" s="23" t="n">
        <f aca="false">IFERROR(SUMIFS(Fonte_Dati!E:E,Fonte_Dati!D:D,C16,Fonte_Dati!C:C,"Febbraio")/1000,0)</f>
        <v>311.66175</v>
      </c>
      <c r="G16" s="23" t="n">
        <f aca="false">IFERROR(SUMIFS(Fonte_Dati!E:E,Fonte_Dati!D:D,C16,Fonte_Dati!C:C,"Marzo")/1000,0)</f>
        <v>0</v>
      </c>
      <c r="H16" s="78" t="n">
        <f aca="false">SUM(E16:G16)</f>
        <v>521.4165</v>
      </c>
      <c r="I16" s="42" t="n">
        <f aca="false">IFERROR(E16/H16,0)</f>
        <v>0.402278696589003</v>
      </c>
      <c r="J16" s="41" t="n">
        <f aca="false">IFERROR(F16-E16,0)</f>
        <v>101.907</v>
      </c>
      <c r="K16" s="42" t="n">
        <f aca="false">IFERROR((F16-E16)/E16,"-")</f>
        <v>0.485838818906366</v>
      </c>
      <c r="L16" s="24" t="n">
        <f aca="false">IFERROR(SUMIFS(Fonte_Dati!I:I,Fonte_Dati!D:D,C16,Fonte_Dati!C:C,"Gennaio")/(SUMIFS(Fonte_Dati!F:F,Fonte_Dati!D:D,C16,Fonte_Dati!C:C,"Gennaio")/1000),0)</f>
        <v>119.248382930029</v>
      </c>
      <c r="M16" s="24" t="n">
        <f aca="false">IFERROR(SUMIFS(Fonte_Dati!I:I,Fonte_Dati!D:D,C16,Fonte_Dati!C:C,"Febbraio")/(SUMIFS(Fonte_Dati!F:F,Fonte_Dati!D:D,C16,Fonte_Dati!C:C,"Febbraio")/1000),0)</f>
        <v>78.9257466733647</v>
      </c>
      <c r="N16" s="40" t="n">
        <f aca="false">IFERROR(SUMIFS(Fonte_Dati!I:I,Fonte_Dati!D:D,C16)/(SUMIFS(Fonte_Dati!F:F,Fonte_Dati!D:D,C16)/1000),0)</f>
        <v>95.1466842297281</v>
      </c>
      <c r="O16" s="72" t="n">
        <f aca="false">IFERROR(VLOOKUP(C16,DB_Impianti!C:K,9,0),"")</f>
        <v>0</v>
      </c>
      <c r="P16" s="79" t="n">
        <f aca="false">IFERROR(VLOOKUP(C16,Irraggiamento_PVGIS!C50:H65,3,0),"")</f>
        <v>0</v>
      </c>
      <c r="Q16" s="79" t="n">
        <f aca="false">IFERROR(VLOOKUP(C16,Irraggiamento_PVGIS!C50:H65,4,0),"")</f>
        <v>0</v>
      </c>
      <c r="R16" s="79" t="n">
        <f aca="false">IFERROR(VLOOKUP(C16,Irraggiamento_PVGIS!C50:H65,5,0),"")</f>
        <v>0</v>
      </c>
      <c r="S16" s="80" t="str">
        <f aca="false">IFERROR((E16*1000)/(P16*O16),"")</f>
        <v/>
      </c>
      <c r="T16" s="80" t="str">
        <f aca="false">IFERROR((F16*1000)/(Q16*O16),"")</f>
        <v/>
      </c>
      <c r="U16" s="80" t="str">
        <f aca="false">IFERROR((G16*1000)/(R16*O16),"")</f>
        <v/>
      </c>
      <c r="V16" s="81" t="str">
        <f aca="false">IFERROR((H16*1000)/(VLOOKUP(C16,Irraggiamento_PVGIS!C50:H65,6,0)*O16),"")</f>
        <v/>
      </c>
    </row>
    <row r="17" customFormat="false" ht="16.5" hidden="false" customHeight="true" outlineLevel="0" collapsed="false">
      <c r="B17" s="38" t="n">
        <v>10</v>
      </c>
      <c r="C17" s="73" t="s">
        <v>329</v>
      </c>
      <c r="D17" s="75" t="s">
        <v>320</v>
      </c>
      <c r="E17" s="26" t="n">
        <f aca="false">IFERROR(SUMIFS(Fonte_Dati!E:E,Fonte_Dati!D:D,C17,Fonte_Dati!C:C,"Gennaio")/1000,0)</f>
        <v>199.294559999995</v>
      </c>
      <c r="F17" s="26" t="n">
        <f aca="false">IFERROR(SUMIFS(Fonte_Dati!E:E,Fonte_Dati!D:D,C17,Fonte_Dati!C:C,"Febbraio")/1000,0)</f>
        <v>277.671520000004</v>
      </c>
      <c r="G17" s="26" t="n">
        <f aca="false">IFERROR(SUMIFS(Fonte_Dati!E:E,Fonte_Dati!D:D,C17,Fonte_Dati!C:C,"Marzo")/1000,0)</f>
        <v>0</v>
      </c>
      <c r="H17" s="82" t="n">
        <f aca="false">SUM(E17:G17)</f>
        <v>476.966079999999</v>
      </c>
      <c r="I17" s="45" t="n">
        <f aca="false">IFERROR(E17/H17,0)</f>
        <v>0.417838014812281</v>
      </c>
      <c r="J17" s="44" t="n">
        <f aca="false">IFERROR(F17-E17,0)</f>
        <v>78.376960000009</v>
      </c>
      <c r="K17" s="45" t="n">
        <f aca="false">IFERROR((F17-E17)/E17,"-")</f>
        <v>0.393271948817925</v>
      </c>
      <c r="L17" s="27" t="n">
        <f aca="false">IFERROR(SUMIFS(Fonte_Dati!I:I,Fonte_Dati!D:D,C17,Fonte_Dati!C:C,"Gennaio")/(SUMIFS(Fonte_Dati!F:F,Fonte_Dati!D:D,C17,Fonte_Dati!C:C,"Gennaio")/1000),0)</f>
        <v>117.622347592579</v>
      </c>
      <c r="M17" s="27" t="n">
        <f aca="false">IFERROR(SUMIFS(Fonte_Dati!I:I,Fonte_Dati!D:D,C17,Fonte_Dati!C:C,"Febbraio")/(SUMIFS(Fonte_Dati!F:F,Fonte_Dati!D:D,C17,Fonte_Dati!C:C,"Febbraio")/1000),0)</f>
        <v>79.2076260877035</v>
      </c>
      <c r="N17" s="43" t="n">
        <f aca="false">IFERROR(SUMIFS(Fonte_Dati!I:I,Fonte_Dati!D:D,C17)/(SUMIFS(Fonte_Dati!F:F,Fonte_Dati!D:D,C17)/1000),0)</f>
        <v>95.2587570608671</v>
      </c>
      <c r="O17" s="74" t="n">
        <f aca="false">IFERROR(VLOOKUP(C17,DB_Impianti!C:K,9,0),"")</f>
        <v>0</v>
      </c>
      <c r="P17" s="83" t="n">
        <f aca="false">IFERROR(VLOOKUP(C17,Irraggiamento_PVGIS!C50:H65,3,0),"")</f>
        <v>0</v>
      </c>
      <c r="Q17" s="83" t="n">
        <f aca="false">IFERROR(VLOOKUP(C17,Irraggiamento_PVGIS!C50:H65,4,0),"")</f>
        <v>0</v>
      </c>
      <c r="R17" s="83" t="n">
        <f aca="false">IFERROR(VLOOKUP(C17,Irraggiamento_PVGIS!C50:H65,5,0),"")</f>
        <v>0</v>
      </c>
      <c r="S17" s="84" t="str">
        <f aca="false">IFERROR((E17*1000)/(P17*O17),"")</f>
        <v/>
      </c>
      <c r="T17" s="84" t="str">
        <f aca="false">IFERROR((F17*1000)/(Q17*O17),"")</f>
        <v/>
      </c>
      <c r="U17" s="84" t="str">
        <f aca="false">IFERROR((G17*1000)/(R17*O17),"")</f>
        <v/>
      </c>
      <c r="V17" s="81" t="str">
        <f aca="false">IFERROR((H17*1000)/(VLOOKUP(C17,Irraggiamento_PVGIS!C50:H65,6,0)*O17),"")</f>
        <v/>
      </c>
    </row>
    <row r="18" customFormat="false" ht="16.5" hidden="false" customHeight="true" outlineLevel="0" collapsed="false">
      <c r="B18" s="38" t="n">
        <v>11</v>
      </c>
      <c r="C18" s="70" t="s">
        <v>324</v>
      </c>
      <c r="D18" s="75" t="s">
        <v>320</v>
      </c>
      <c r="E18" s="23" t="n">
        <f aca="false">IFERROR(SUMIFS(Fonte_Dati!E:E,Fonte_Dati!D:D,C18,Fonte_Dati!C:C,"Gennaio")/1000,0)</f>
        <v>111.376125</v>
      </c>
      <c r="F18" s="23" t="n">
        <f aca="false">IFERROR(SUMIFS(Fonte_Dati!E:E,Fonte_Dati!D:D,C18,Fonte_Dati!C:C,"Febbraio")/1000,0)</f>
        <v>214.7997</v>
      </c>
      <c r="G18" s="23" t="n">
        <f aca="false">IFERROR(SUMIFS(Fonte_Dati!E:E,Fonte_Dati!D:D,C18,Fonte_Dati!C:C,"Marzo")/1000,0)</f>
        <v>0</v>
      </c>
      <c r="H18" s="78" t="n">
        <f aca="false">SUM(E18:G18)</f>
        <v>326.175825</v>
      </c>
      <c r="I18" s="42" t="n">
        <f aca="false">IFERROR(E18/H18,0)</f>
        <v>0.341460391799423</v>
      </c>
      <c r="J18" s="41" t="n">
        <f aca="false">IFERROR(F18-E18,0)</f>
        <v>103.423575</v>
      </c>
      <c r="K18" s="42" t="n">
        <f aca="false">IFERROR((F18-E18)/E18,"-")</f>
        <v>0.928597354235479</v>
      </c>
      <c r="L18" s="24" t="n">
        <f aca="false">IFERROR(SUMIFS(Fonte_Dati!I:I,Fonte_Dati!D:D,C18,Fonte_Dati!C:C,"Gennaio")/(SUMIFS(Fonte_Dati!F:F,Fonte_Dati!D:D,C18,Fonte_Dati!C:C,"Gennaio")/1000),0)</f>
        <v>110.503252190941</v>
      </c>
      <c r="M18" s="24" t="n">
        <f aca="false">IFERROR(SUMIFS(Fonte_Dati!I:I,Fonte_Dati!D:D,C18,Fonte_Dati!C:C,"Febbraio")/(SUMIFS(Fonte_Dati!F:F,Fonte_Dati!D:D,C18,Fonte_Dati!C:C,"Febbraio")/1000),0)</f>
        <v>81.3829453256011</v>
      </c>
      <c r="N18" s="40" t="n">
        <f aca="false">IFERROR(SUMIFS(Fonte_Dati!I:I,Fonte_Dati!D:D,C18)/(SUMIFS(Fonte_Dati!F:F,Fonte_Dati!D:D,C18)/1000),0)</f>
        <v>91.3263767171596</v>
      </c>
      <c r="O18" s="72" t="n">
        <f aca="false">IFERROR(VLOOKUP(C18,DB_Impianti!C:K,9,0),"")</f>
        <v>0</v>
      </c>
      <c r="P18" s="79" t="n">
        <f aca="false">IFERROR(VLOOKUP(C18,Irraggiamento_PVGIS!C50:H65,3,0),"")</f>
        <v>0</v>
      </c>
      <c r="Q18" s="79" t="n">
        <f aca="false">IFERROR(VLOOKUP(C18,Irraggiamento_PVGIS!C50:H65,4,0),"")</f>
        <v>0</v>
      </c>
      <c r="R18" s="79" t="n">
        <f aca="false">IFERROR(VLOOKUP(C18,Irraggiamento_PVGIS!C50:H65,5,0),"")</f>
        <v>0</v>
      </c>
      <c r="S18" s="80" t="str">
        <f aca="false">IFERROR((E18*1000)/(P18*O18),"")</f>
        <v/>
      </c>
      <c r="T18" s="80" t="str">
        <f aca="false">IFERROR((F18*1000)/(Q18*O18),"")</f>
        <v/>
      </c>
      <c r="U18" s="80" t="str">
        <f aca="false">IFERROR((G18*1000)/(R18*O18),"")</f>
        <v/>
      </c>
      <c r="V18" s="81" t="str">
        <f aca="false">IFERROR((H18*1000)/(VLOOKUP(C18,Irraggiamento_PVGIS!C50:H65,6,0)*O18),"")</f>
        <v/>
      </c>
    </row>
    <row r="19" customFormat="false" ht="16.5" hidden="false" customHeight="true" outlineLevel="0" collapsed="false">
      <c r="B19" s="38" t="n">
        <v>12</v>
      </c>
      <c r="C19" s="73" t="s">
        <v>325</v>
      </c>
      <c r="D19" s="75" t="s">
        <v>320</v>
      </c>
      <c r="E19" s="26" t="n">
        <f aca="false">IFERROR(SUMIFS(Fonte_Dati!E:E,Fonte_Dati!D:D,C19,Fonte_Dati!C:C,"Gennaio")/1000,0)</f>
        <v>112.069200000002</v>
      </c>
      <c r="F19" s="26" t="n">
        <f aca="false">IFERROR(SUMIFS(Fonte_Dati!E:E,Fonte_Dati!D:D,C19,Fonte_Dati!C:C,"Febbraio")/1000,0)</f>
        <v>208.407840000004</v>
      </c>
      <c r="G19" s="26" t="n">
        <f aca="false">IFERROR(SUMIFS(Fonte_Dati!E:E,Fonte_Dati!D:D,C19,Fonte_Dati!C:C,"Marzo")/1000,0)</f>
        <v>0</v>
      </c>
      <c r="H19" s="82" t="n">
        <f aca="false">SUM(E19:G19)</f>
        <v>320.477040000006</v>
      </c>
      <c r="I19" s="45" t="n">
        <f aca="false">IFERROR(E19/H19,0)</f>
        <v>0.349694942264818</v>
      </c>
      <c r="J19" s="44" t="n">
        <f aca="false">IFERROR(F19-E19,0)</f>
        <v>96.338640000002</v>
      </c>
      <c r="K19" s="45" t="n">
        <f aca="false">IFERROR((F19-E19)/E19,"-")</f>
        <v>0.859635296763074</v>
      </c>
      <c r="L19" s="27" t="n">
        <f aca="false">IFERROR(SUMIFS(Fonte_Dati!I:I,Fonte_Dati!D:D,C19,Fonte_Dati!C:C,"Gennaio")/(SUMIFS(Fonte_Dati!F:F,Fonte_Dati!D:D,C19,Fonte_Dati!C:C,"Gennaio")/1000),0)</f>
        <v>109.095451657863</v>
      </c>
      <c r="M19" s="27" t="n">
        <f aca="false">IFERROR(SUMIFS(Fonte_Dati!I:I,Fonte_Dati!D:D,C19,Fonte_Dati!C:C,"Febbraio")/(SUMIFS(Fonte_Dati!F:F,Fonte_Dati!D:D,C19,Fonte_Dati!C:C,"Febbraio")/1000),0)</f>
        <v>80.9642201718996</v>
      </c>
      <c r="N19" s="43" t="n">
        <f aca="false">IFERROR(SUMIFS(Fonte_Dati!I:I,Fonte_Dati!D:D,C19)/(SUMIFS(Fonte_Dati!F:F,Fonte_Dati!D:D,C19)/1000),0)</f>
        <v>90.8015695422219</v>
      </c>
      <c r="O19" s="74" t="n">
        <f aca="false">IFERROR(VLOOKUP(C19,DB_Impianti!C:K,9,0),"")</f>
        <v>0</v>
      </c>
      <c r="P19" s="83" t="n">
        <f aca="false">IFERROR(VLOOKUP(C19,Irraggiamento_PVGIS!C50:H65,3,0),"")</f>
        <v>0</v>
      </c>
      <c r="Q19" s="83" t="n">
        <f aca="false">IFERROR(VLOOKUP(C19,Irraggiamento_PVGIS!C50:H65,4,0),"")</f>
        <v>0</v>
      </c>
      <c r="R19" s="83" t="n">
        <f aca="false">IFERROR(VLOOKUP(C19,Irraggiamento_PVGIS!C50:H65,5,0),"")</f>
        <v>0</v>
      </c>
      <c r="S19" s="84" t="str">
        <f aca="false">IFERROR((E19*1000)/(P19*O19),"")</f>
        <v/>
      </c>
      <c r="T19" s="84" t="str">
        <f aca="false">IFERROR((F19*1000)/(Q19*O19),"")</f>
        <v/>
      </c>
      <c r="U19" s="84" t="str">
        <f aca="false">IFERROR((G19*1000)/(R19*O19),"")</f>
        <v/>
      </c>
      <c r="V19" s="81" t="str">
        <f aca="false">IFERROR((H19*1000)/(VLOOKUP(C19,Irraggiamento_PVGIS!C50:H65,6,0)*O19),"")</f>
        <v/>
      </c>
    </row>
    <row r="20" customFormat="false" ht="16.5" hidden="false" customHeight="true" outlineLevel="0" collapsed="false">
      <c r="B20" s="38" t="n">
        <v>13</v>
      </c>
      <c r="C20" s="70" t="s">
        <v>327</v>
      </c>
      <c r="D20" s="75" t="s">
        <v>320</v>
      </c>
      <c r="E20" s="23" t="n">
        <f aca="false">IFERROR(SUMIFS(Fonte_Dati!E:E,Fonte_Dati!D:D,C20,Fonte_Dati!C:C,"Gennaio")/1000,0)</f>
        <v>76.1901599999965</v>
      </c>
      <c r="F20" s="23" t="n">
        <f aca="false">IFERROR(SUMIFS(Fonte_Dati!E:E,Fonte_Dati!D:D,C20,Fonte_Dati!C:C,"Febbraio")/1000,0)</f>
        <v>0</v>
      </c>
      <c r="G20" s="23" t="n">
        <f aca="false">IFERROR(SUMIFS(Fonte_Dati!E:E,Fonte_Dati!D:D,C20,Fonte_Dati!C:C,"Marzo")/1000,0)</f>
        <v>0</v>
      </c>
      <c r="H20" s="78" t="n">
        <f aca="false">SUM(E20:G20)</f>
        <v>76.1901599999965</v>
      </c>
      <c r="I20" s="42" t="n">
        <f aca="false">IFERROR(E20/H20,0)</f>
        <v>1</v>
      </c>
      <c r="J20" s="41" t="n">
        <f aca="false">IFERROR(F20-E20,0)</f>
        <v>-76.1901599999965</v>
      </c>
      <c r="K20" s="42" t="n">
        <f aca="false">IFERROR((F20-E20)/E20,"-")</f>
        <v>-1</v>
      </c>
      <c r="L20" s="24" t="n">
        <f aca="false">IFERROR(SUMIFS(Fonte_Dati!I:I,Fonte_Dati!D:D,C20,Fonte_Dati!C:C,"Gennaio")/(SUMIFS(Fonte_Dati!F:F,Fonte_Dati!D:D,C20,Fonte_Dati!C:C,"Gennaio")/1000),0)</f>
        <v>115.006243257835</v>
      </c>
      <c r="M20" s="24" t="n">
        <f aca="false">IFERROR(SUMIFS(Fonte_Dati!I:I,Fonte_Dati!D:D,C20,Fonte_Dati!C:C,"Febbraio")/(SUMIFS(Fonte_Dati!F:F,Fonte_Dati!D:D,C20,Fonte_Dati!C:C,"Febbraio")/1000),0)</f>
        <v>0</v>
      </c>
      <c r="N20" s="40" t="n">
        <f aca="false">IFERROR(SUMIFS(Fonte_Dati!I:I,Fonte_Dati!D:D,C20)/(SUMIFS(Fonte_Dati!F:F,Fonte_Dati!D:D,C20)/1000),0)</f>
        <v>115.006243257835</v>
      </c>
      <c r="O20" s="72" t="n">
        <f aca="false">IFERROR(VLOOKUP(C20,DB_Impianti!C:K,9,0),"")</f>
        <v>0</v>
      </c>
      <c r="P20" s="79" t="n">
        <f aca="false">IFERROR(VLOOKUP(C20,Irraggiamento_PVGIS!C50:H65,3,0),"")</f>
        <v>0</v>
      </c>
      <c r="Q20" s="79" t="n">
        <f aca="false">IFERROR(VLOOKUP(C20,Irraggiamento_PVGIS!C50:H65,4,0),"")</f>
        <v>0</v>
      </c>
      <c r="R20" s="79" t="n">
        <f aca="false">IFERROR(VLOOKUP(C20,Irraggiamento_PVGIS!C50:H65,5,0),"")</f>
        <v>0</v>
      </c>
      <c r="S20" s="80" t="str">
        <f aca="false">IFERROR((E20*1000)/(P20*O20),"")</f>
        <v/>
      </c>
      <c r="T20" s="80" t="str">
        <f aca="false">IFERROR((F20*1000)/(Q20*O20),"")</f>
        <v/>
      </c>
      <c r="U20" s="80" t="str">
        <f aca="false">IFERROR((G20*1000)/(R20*O20),"")</f>
        <v/>
      </c>
      <c r="V20" s="81" t="str">
        <f aca="false">IFERROR((H20*1000)/(VLOOKUP(C20,Irraggiamento_PVGIS!C50:H65,6,0)*O20),"")</f>
        <v/>
      </c>
    </row>
    <row r="21" customFormat="false" ht="16.5" hidden="false" customHeight="true" outlineLevel="0" collapsed="false">
      <c r="B21" s="38" t="n">
        <v>14</v>
      </c>
      <c r="C21" s="73" t="s">
        <v>326</v>
      </c>
      <c r="D21" s="75" t="s">
        <v>320</v>
      </c>
      <c r="E21" s="26" t="n">
        <f aca="false">IFERROR(SUMIFS(Fonte_Dati!E:E,Fonte_Dati!D:D,C21,Fonte_Dati!C:C,"Gennaio")/1000,0)</f>
        <v>33.2096999999999</v>
      </c>
      <c r="F21" s="26" t="n">
        <f aca="false">IFERROR(SUMIFS(Fonte_Dati!E:E,Fonte_Dati!D:D,C21,Fonte_Dati!C:C,"Febbraio")/1000,0)</f>
        <v>45.3068400000002</v>
      </c>
      <c r="G21" s="26" t="n">
        <f aca="false">IFERROR(SUMIFS(Fonte_Dati!E:E,Fonte_Dati!D:D,C21,Fonte_Dati!C:C,"Marzo")/1000,0)</f>
        <v>0</v>
      </c>
      <c r="H21" s="82" t="n">
        <f aca="false">SUM(E21:G21)</f>
        <v>78.5165400000001</v>
      </c>
      <c r="I21" s="45" t="n">
        <f aca="false">IFERROR(E21/H21,0)</f>
        <v>0.422964384319531</v>
      </c>
      <c r="J21" s="44" t="n">
        <f aca="false">IFERROR(F21-E21,0)</f>
        <v>12.0971400000003</v>
      </c>
      <c r="K21" s="45" t="n">
        <f aca="false">IFERROR((F21-E21)/E21,"-")</f>
        <v>0.364265259848789</v>
      </c>
      <c r="L21" s="27" t="n">
        <f aca="false">IFERROR(SUMIFS(Fonte_Dati!I:I,Fonte_Dati!D:D,C21,Fonte_Dati!C:C,"Gennaio")/(SUMIFS(Fonte_Dati!F:F,Fonte_Dati!D:D,C21,Fonte_Dati!C:C,"Gennaio")/1000),0)</f>
        <v>116.809232146054</v>
      </c>
      <c r="M21" s="27" t="n">
        <f aca="false">IFERROR(SUMIFS(Fonte_Dati!I:I,Fonte_Dati!D:D,C21,Fonte_Dati!C:C,"Febbraio")/(SUMIFS(Fonte_Dati!F:F,Fonte_Dati!D:D,C21,Fonte_Dati!C:C,"Febbraio")/1000),0)</f>
        <v>78.0748570993257</v>
      </c>
      <c r="N21" s="43" t="n">
        <f aca="false">IFERROR(SUMIFS(Fonte_Dati!I:I,Fonte_Dati!D:D,C21)/(SUMIFS(Fonte_Dati!F:F,Fonte_Dati!D:D,C21)/1000),0)</f>
        <v>94.4581181929667</v>
      </c>
      <c r="O21" s="74" t="n">
        <f aca="false">IFERROR(VLOOKUP(C21,DB_Impianti!C:K,9,0),"")</f>
        <v>0</v>
      </c>
      <c r="P21" s="83" t="n">
        <f aca="false">IFERROR(VLOOKUP(C21,Irraggiamento_PVGIS!C50:H65,3,0),"")</f>
        <v>0</v>
      </c>
      <c r="Q21" s="83" t="n">
        <f aca="false">IFERROR(VLOOKUP(C21,Irraggiamento_PVGIS!C50:H65,4,0),"")</f>
        <v>0</v>
      </c>
      <c r="R21" s="83" t="n">
        <f aca="false">IFERROR(VLOOKUP(C21,Irraggiamento_PVGIS!C50:H65,5,0),"")</f>
        <v>0</v>
      </c>
      <c r="S21" s="84" t="str">
        <f aca="false">IFERROR((E21*1000)/(P21*O21),"")</f>
        <v/>
      </c>
      <c r="T21" s="84" t="str">
        <f aca="false">IFERROR((F21*1000)/(Q21*O21),"")</f>
        <v/>
      </c>
      <c r="U21" s="84" t="str">
        <f aca="false">IFERROR((G21*1000)/(R21*O21),"")</f>
        <v/>
      </c>
      <c r="V21" s="81" t="str">
        <f aca="false">IFERROR((H21*1000)/(VLOOKUP(C21,Irraggiamento_PVGIS!C50:H65,6,0)*O21),"")</f>
        <v/>
      </c>
    </row>
    <row r="22" customFormat="false" ht="16.5" hidden="false" customHeight="true" outlineLevel="0" collapsed="false">
      <c r="B22" s="38" t="n">
        <v>15</v>
      </c>
      <c r="C22" s="70" t="s">
        <v>321</v>
      </c>
      <c r="D22" s="75" t="s">
        <v>320</v>
      </c>
      <c r="E22" s="23" t="n">
        <f aca="false">IFERROR(SUMIFS(Fonte_Dati!E:E,Fonte_Dati!D:D,C22,Fonte_Dati!C:C,"Gennaio")/1000,0)</f>
        <v>24.2952399999995</v>
      </c>
      <c r="F22" s="23" t="n">
        <f aca="false">IFERROR(SUMIFS(Fonte_Dati!E:E,Fonte_Dati!D:D,C22,Fonte_Dati!C:C,"Febbraio")/1000,0)</f>
        <v>46.4066800000001</v>
      </c>
      <c r="G22" s="23" t="n">
        <f aca="false">IFERROR(SUMIFS(Fonte_Dati!E:E,Fonte_Dati!D:D,C22,Fonte_Dati!C:C,"Marzo")/1000,0)</f>
        <v>0</v>
      </c>
      <c r="H22" s="78" t="n">
        <f aca="false">SUM(E22:G22)</f>
        <v>70.7019199999996</v>
      </c>
      <c r="I22" s="42" t="n">
        <f aca="false">IFERROR(E22/H22,0)</f>
        <v>0.343629140481611</v>
      </c>
      <c r="J22" s="41" t="n">
        <f aca="false">IFERROR(F22-E22,0)</f>
        <v>22.1114400000006</v>
      </c>
      <c r="K22" s="42" t="n">
        <f aca="false">IFERROR((F22-E22)/E22,"-")</f>
        <v>0.910114079959739</v>
      </c>
      <c r="L22" s="24" t="n">
        <f aca="false">IFERROR(SUMIFS(Fonte_Dati!I:I,Fonte_Dati!D:D,C22,Fonte_Dati!C:C,"Gennaio")/(SUMIFS(Fonte_Dati!F:F,Fonte_Dati!D:D,C22,Fonte_Dati!C:C,"Gennaio")/1000),0)</f>
        <v>121.515922128055</v>
      </c>
      <c r="M22" s="24" t="n">
        <f aca="false">IFERROR(SUMIFS(Fonte_Dati!I:I,Fonte_Dati!D:D,C22,Fonte_Dati!C:C,"Febbraio")/(SUMIFS(Fonte_Dati!F:F,Fonte_Dati!D:D,C22,Fonte_Dati!C:C,"Febbraio")/1000),0)</f>
        <v>75.8768054880185</v>
      </c>
      <c r="N22" s="40" t="n">
        <f aca="false">IFERROR(SUMIFS(Fonte_Dati!I:I,Fonte_Dati!D:D,C22)/(SUMIFS(Fonte_Dati!F:F,Fonte_Dati!D:D,C22)/1000),0)</f>
        <v>91.5597359113744</v>
      </c>
      <c r="O22" s="72" t="n">
        <f aca="false">IFERROR(VLOOKUP(C22,DB_Impianti!C:K,9,0),"")</f>
        <v>0</v>
      </c>
      <c r="P22" s="79" t="n">
        <f aca="false">IFERROR(VLOOKUP(C22,Irraggiamento_PVGIS!C50:H65,3,0),"")</f>
        <v>0</v>
      </c>
      <c r="Q22" s="79" t="n">
        <f aca="false">IFERROR(VLOOKUP(C22,Irraggiamento_PVGIS!C50:H65,4,0),"")</f>
        <v>0</v>
      </c>
      <c r="R22" s="79" t="n">
        <f aca="false">IFERROR(VLOOKUP(C22,Irraggiamento_PVGIS!C50:H65,5,0),"")</f>
        <v>0</v>
      </c>
      <c r="S22" s="80" t="str">
        <f aca="false">IFERROR((E22*1000)/(P22*O22),"")</f>
        <v/>
      </c>
      <c r="T22" s="80" t="str">
        <f aca="false">IFERROR((F22*1000)/(Q22*O22),"")</f>
        <v/>
      </c>
      <c r="U22" s="80" t="str">
        <f aca="false">IFERROR((G22*1000)/(R22*O22),"")</f>
        <v/>
      </c>
      <c r="V22" s="81" t="str">
        <f aca="false">IFERROR((H22*1000)/(VLOOKUP(C22,Irraggiamento_PVGIS!C50:H65,6,0)*O22),"")</f>
        <v/>
      </c>
    </row>
    <row r="23" customFormat="false" ht="16.5" hidden="false" customHeight="true" outlineLevel="0" collapsed="false">
      <c r="B23" s="38" t="n">
        <v>16</v>
      </c>
      <c r="C23" s="73" t="s">
        <v>332</v>
      </c>
      <c r="D23" s="75" t="s">
        <v>320</v>
      </c>
      <c r="E23" s="26" t="n">
        <f aca="false">IFERROR(SUMIFS(Fonte_Dati!E:E,Fonte_Dati!D:D,C23,Fonte_Dati!C:C,"Gennaio")/1000,0)</f>
        <v>7.46917800000006</v>
      </c>
      <c r="F23" s="26" t="n">
        <f aca="false">IFERROR(SUMIFS(Fonte_Dati!E:E,Fonte_Dati!D:D,C23,Fonte_Dati!C:C,"Febbraio")/1000,0)</f>
        <v>11.6970420000002</v>
      </c>
      <c r="G23" s="26" t="n">
        <f aca="false">IFERROR(SUMIFS(Fonte_Dati!E:E,Fonte_Dati!D:D,C23,Fonte_Dati!C:C,"Marzo")/1000,0)</f>
        <v>0</v>
      </c>
      <c r="H23" s="82" t="n">
        <f aca="false">SUM(E23:G23)</f>
        <v>19.1662200000003</v>
      </c>
      <c r="I23" s="45" t="n">
        <f aca="false">IFERROR(E23/H23,0)</f>
        <v>0.389705325306709</v>
      </c>
      <c r="J23" s="44" t="n">
        <f aca="false">IFERROR(F23-E23,0)</f>
        <v>4.22786400000014</v>
      </c>
      <c r="K23" s="45" t="n">
        <f aca="false">IFERROR((F23-E23)/E23,"-")</f>
        <v>0.566041403752877</v>
      </c>
      <c r="L23" s="27" t="n">
        <f aca="false">IFERROR(SUMIFS(Fonte_Dati!I:I,Fonte_Dati!D:D,C23,Fonte_Dati!C:C,"Gennaio")/(SUMIFS(Fonte_Dati!F:F,Fonte_Dati!D:D,C23,Fonte_Dati!C:C,"Gennaio")/1000),0)</f>
        <v>117.677047808033</v>
      </c>
      <c r="M23" s="27" t="n">
        <f aca="false">IFERROR(SUMIFS(Fonte_Dati!I:I,Fonte_Dati!D:D,C23,Fonte_Dati!C:C,"Febbraio")/(SUMIFS(Fonte_Dati!F:F,Fonte_Dati!D:D,C23,Fonte_Dati!C:C,"Febbraio")/1000),0)</f>
        <v>77.3770912991857</v>
      </c>
      <c r="N23" s="43" t="n">
        <f aca="false">IFERROR(SUMIFS(Fonte_Dati!I:I,Fonte_Dati!D:D,C23)/(SUMIFS(Fonte_Dati!F:F,Fonte_Dati!D:D,C23)/1000),0)</f>
        <v>93.0821989603123</v>
      </c>
      <c r="O23" s="74" t="n">
        <f aca="false">IFERROR(VLOOKUP(C23,DB_Impianti!C:K,9,0),"")</f>
        <v>0</v>
      </c>
      <c r="P23" s="83" t="n">
        <f aca="false">IFERROR(VLOOKUP(C23,Irraggiamento_PVGIS!C50:H65,3,0),"")</f>
        <v>0</v>
      </c>
      <c r="Q23" s="83" t="n">
        <f aca="false">IFERROR(VLOOKUP(C23,Irraggiamento_PVGIS!C50:H65,4,0),"")</f>
        <v>0</v>
      </c>
      <c r="R23" s="83" t="n">
        <f aca="false">IFERROR(VLOOKUP(C23,Irraggiamento_PVGIS!C50:H65,5,0),"")</f>
        <v>0</v>
      </c>
      <c r="S23" s="84" t="str">
        <f aca="false">IFERROR((E23*1000)/(P23*O23),"")</f>
        <v/>
      </c>
      <c r="T23" s="84" t="str">
        <f aca="false">IFERROR((F23*1000)/(Q23*O23),"")</f>
        <v/>
      </c>
      <c r="U23" s="84" t="str">
        <f aca="false">IFERROR((G23*1000)/(R23*O23),"")</f>
        <v/>
      </c>
      <c r="V23" s="81" t="str">
        <f aca="false">IFERROR((H23*1000)/(VLOOKUP(C23,Irraggiamento_PVGIS!C50:H65,6,0)*O23),"")</f>
        <v/>
      </c>
    </row>
    <row r="24" customFormat="false" ht="15" hidden="false" customHeight="true" outlineLevel="0" collapsed="false">
      <c r="B24" s="28" t="s">
        <v>339</v>
      </c>
      <c r="C24" s="28"/>
      <c r="D24" s="28"/>
      <c r="E24" s="85" t="n">
        <f aca="false">SUM(E8:E23)</f>
        <v>13791.5645969219</v>
      </c>
      <c r="F24" s="85" t="n">
        <f aca="false">SUM(F8:F23)</f>
        <v>15029.0702550914</v>
      </c>
      <c r="G24" s="85" t="n">
        <f aca="false">SUM(G8:G23)</f>
        <v>1.27149021681879</v>
      </c>
      <c r="H24" s="85" t="n">
        <f aca="false">SUM(H8:H23)</f>
        <v>28821.9063422301</v>
      </c>
      <c r="M24" s="29" t="n">
        <f aca="false">IFERROR(J24/G24,0)</f>
        <v>0</v>
      </c>
      <c r="O24" s="86" t="n">
        <f aca="false">IFERROR(SUM(O8:O23),"")</f>
        <v>0</v>
      </c>
      <c r="S24" s="87" t="str">
        <f aca="false">IFERROR(AVERAGE(S8:S23),"")</f>
        <v/>
      </c>
      <c r="T24" s="87" t="str">
        <f aca="false">IFERROR(AVERAGE(T8:T23),"")</f>
        <v/>
      </c>
      <c r="U24" s="87" t="str">
        <f aca="false">IFERROR(AVERAGE(U8:U23),"")</f>
        <v/>
      </c>
      <c r="V24" s="87" t="str">
        <f aca="false">IFERROR(AVERAGE(V8:V23),"")</f>
        <v/>
      </c>
    </row>
    <row r="25" customFormat="false" ht="15" hidden="false" customHeight="true" outlineLevel="0" collapsed="false">
      <c r="O25" s="88" t="s">
        <v>454</v>
      </c>
    </row>
    <row r="26" customFormat="false" ht="15" hidden="false" customHeight="true" outlineLevel="0" collapsed="false">
      <c r="B26" s="30" t="s">
        <v>455</v>
      </c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</row>
    <row r="27" customFormat="false" ht="15" hidden="false" customHeight="true" outlineLevel="0" collapsed="false">
      <c r="B27" s="69" t="s">
        <v>456</v>
      </c>
      <c r="C27" s="69"/>
      <c r="D27" s="69"/>
      <c r="E27" s="85" t="n">
        <f aca="false">E11+E12+E13+E14+E15+E16+E17+E18+E19+E20+E21+E22+E23</f>
        <v>3190.89251300001</v>
      </c>
      <c r="F27" s="85" t="n">
        <f aca="false">F11+F12+F13+F14+F15+F16+F17+F18+F19+F20+F21+F22+F23</f>
        <v>4482.419132</v>
      </c>
      <c r="G27" s="85" t="n">
        <f aca="false">G11+G12+G13+G14+G15+G16+G17+G18+G19+G20+G21+G22+G23</f>
        <v>0</v>
      </c>
      <c r="H27" s="85" t="n">
        <f aca="false">H11+H12+H13+H14+H15+H16+H17+H18+H19+H20+H21+H22+H23</f>
        <v>7673.31164500001</v>
      </c>
    </row>
    <row r="28" customFormat="false" ht="15" hidden="false" customHeight="true" outlineLevel="0" collapsed="false">
      <c r="B28" s="89" t="s">
        <v>457</v>
      </c>
      <c r="C28" s="89"/>
      <c r="D28" s="89"/>
      <c r="E28" s="90" t="n">
        <f aca="false">E8+E9+E10</f>
        <v>10600.6720839219</v>
      </c>
      <c r="F28" s="90" t="n">
        <f aca="false">F8+F9+F10</f>
        <v>10546.6511230914</v>
      </c>
      <c r="G28" s="90" t="n">
        <f aca="false">G8+G9+G10</f>
        <v>1.27149021681879</v>
      </c>
      <c r="H28" s="90" t="n">
        <f aca="false">H8+H9+H10</f>
        <v>21148.5946972301</v>
      </c>
    </row>
    <row r="29" customFormat="false" ht="15" hidden="false" customHeight="true" outlineLevel="0" collapsed="false">
      <c r="B29" s="91" t="s">
        <v>458</v>
      </c>
      <c r="C29" s="91"/>
      <c r="D29" s="91"/>
      <c r="E29" s="85" t="n">
        <f aca="false">E27+E28</f>
        <v>13791.5645969219</v>
      </c>
      <c r="F29" s="85" t="n">
        <f aca="false">F27+F28</f>
        <v>15029.0702550914</v>
      </c>
      <c r="G29" s="85" t="n">
        <f aca="false">G27+G28</f>
        <v>1.27149021681879</v>
      </c>
      <c r="H29" s="85" t="n">
        <f aca="false">H27+H28</f>
        <v>28821.9063422301</v>
      </c>
    </row>
  </sheetData>
  <mergeCells count="9">
    <mergeCell ref="B1:N3"/>
    <mergeCell ref="B4:N4"/>
    <mergeCell ref="B6:N6"/>
    <mergeCell ref="O6:V6"/>
    <mergeCell ref="B24:D24"/>
    <mergeCell ref="B26:N26"/>
    <mergeCell ref="B27:D27"/>
    <mergeCell ref="B28:D28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P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"/>
    <col collapsed="false" customWidth="true" hidden="false" outlineLevel="0" max="3" min="3" style="1" width="22"/>
    <col collapsed="false" customWidth="true" hidden="false" outlineLevel="0" max="4" min="4" style="1" width="13"/>
    <col collapsed="false" customWidth="true" hidden="false" outlineLevel="0" max="5" min="5" style="1" width="10"/>
    <col collapsed="false" customWidth="true" hidden="false" outlineLevel="0" max="6" min="6" style="1" width="22"/>
    <col collapsed="false" customWidth="true" hidden="false" outlineLevel="0" max="7" min="7" style="1" width="18"/>
    <col collapsed="false" customWidth="true" hidden="false" outlineLevel="0" max="9" min="8" style="1" width="11"/>
    <col collapsed="false" customWidth="true" hidden="false" outlineLevel="0" max="11" min="10" style="1" width="12"/>
    <col collapsed="false" customWidth="true" hidden="false" outlineLevel="0" max="12" min="12" style="1" width="14"/>
    <col collapsed="false" customWidth="true" hidden="false" outlineLevel="0" max="13" min="13" style="1" width="13"/>
    <col collapsed="false" customWidth="true" hidden="false" outlineLevel="0" max="14" min="14" style="1" width="14"/>
    <col collapsed="false" customWidth="true" hidden="false" outlineLevel="0" max="15" min="15" style="1" width="13"/>
  </cols>
  <sheetData>
    <row r="1" customFormat="false" ht="15" hidden="false" customHeight="true" outlineLevel="0" collapsed="false">
      <c r="B1" s="17" t="s">
        <v>459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customFormat="false" ht="15" hidden="false" customHeight="true" outlineLevel="0" collapsed="false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customFormat="false" ht="15" hidden="false" customHeight="true" outlineLevel="0" collapsed="false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customFormat="false" ht="15" hidden="false" customHeight="true" outlineLevel="0" collapsed="false">
      <c r="B4" s="18" t="s">
        <v>460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6" customFormat="false" ht="21.75" hidden="false" customHeight="true" outlineLevel="0" collapsed="false">
      <c r="A6" s="92"/>
      <c r="B6" s="20" t="s">
        <v>345</v>
      </c>
      <c r="C6" s="20" t="s">
        <v>310</v>
      </c>
      <c r="D6" s="20" t="s">
        <v>317</v>
      </c>
      <c r="E6" s="20" t="s">
        <v>346</v>
      </c>
      <c r="F6" s="20" t="s">
        <v>347</v>
      </c>
      <c r="G6" s="20" t="s">
        <v>348</v>
      </c>
      <c r="H6" s="20" t="s">
        <v>349</v>
      </c>
      <c r="I6" s="20" t="s">
        <v>309</v>
      </c>
      <c r="J6" s="20" t="s">
        <v>461</v>
      </c>
      <c r="K6" s="20" t="s">
        <v>462</v>
      </c>
      <c r="L6" s="20" t="s">
        <v>429</v>
      </c>
      <c r="M6" s="20" t="s">
        <v>463</v>
      </c>
      <c r="N6" s="20" t="s">
        <v>430</v>
      </c>
      <c r="O6" s="20" t="s">
        <v>464</v>
      </c>
      <c r="P6" s="92"/>
    </row>
    <row r="7" customFormat="false" ht="16.5" hidden="false" customHeight="true" outlineLevel="0" collapsed="false">
      <c r="A7" s="92"/>
      <c r="B7" s="38" t="n">
        <v>1</v>
      </c>
      <c r="C7" s="22" t="s">
        <v>336</v>
      </c>
      <c r="D7" s="71" t="s">
        <v>334</v>
      </c>
      <c r="E7" s="93" t="str">
        <f aca="false">IFERROR(VLOOKUP(C7,DB_Impianti!C:E,3,0),"")</f>
        <v>DXT</v>
      </c>
      <c r="F7" s="93" t="str">
        <f aca="false">IFERROR(VLOOKUP(C7,DB_Impianti!C:F,4,0),"")</f>
        <v>Moncada Energy Group Srl</v>
      </c>
      <c r="G7" s="21" t="str">
        <f aca="false">IFERROR(VLOOKUP(C7,DB_Impianti!C:G,5,0),"")</f>
        <v>PVI_S19MNEN_001</v>
      </c>
      <c r="H7" s="24" t="n">
        <f aca="false">IFERROR(VLOOKUP(C7,DB_Impianti!C:H,6,0),0)</f>
        <v>-1.36</v>
      </c>
      <c r="I7" s="94" t="s">
        <v>465</v>
      </c>
      <c r="J7" s="23" t="n">
        <f aca="false">IFERROR(SUMIFS(Fonte_Dati!E:E,Fonte_Dati!D:D,C7,Fonte_Dati!C:C,"Gennaio")/1000,0)</f>
        <v>4716.69521352058</v>
      </c>
      <c r="K7" s="23" t="n">
        <f aca="false">IFERROR(SUMIFS(Fonte_Dati!F:F,Fonte_Dati!D:D,C7,Fonte_Dati!C:C,"Gennaio")/1000,0)</f>
        <v>4716.69521352058</v>
      </c>
      <c r="L7" s="24" t="n">
        <f aca="false">IFERROR(SUMIFS(Fonte_Dati!G:G,Fonte_Dati!D:D,C7,Fonte_Dati!C:C,"Gennaio"),0)</f>
        <v>589371.139327733</v>
      </c>
      <c r="M7" s="24" t="n">
        <f aca="false">IFERROR(SUMIFS(Fonte_Dati!H:H,Fonte_Dati!D:D,C7,Fonte_Dati!C:C,"Gennaio"),0)</f>
        <v>-943.339042704116</v>
      </c>
      <c r="N7" s="40" t="n">
        <f aca="false">IFERROR(SUMIFS(Fonte_Dati!I:I,Fonte_Dati!D:D,C7,Fonte_Dati!C:C,"Gennaio"),0)</f>
        <v>588427.800285029</v>
      </c>
      <c r="O7" s="24" t="n">
        <f aca="false">IFERROR(N7/K7,0)</f>
        <v>124.7542556064</v>
      </c>
      <c r="P7" s="92"/>
    </row>
    <row r="8" customFormat="false" ht="16.5" hidden="false" customHeight="true" outlineLevel="0" collapsed="false">
      <c r="A8" s="92"/>
      <c r="B8" s="38" t="n">
        <v>1</v>
      </c>
      <c r="C8" s="22" t="s">
        <v>336</v>
      </c>
      <c r="D8" s="71" t="s">
        <v>334</v>
      </c>
      <c r="E8" s="93" t="str">
        <f aca="false">IFERROR(VLOOKUP(C8,DB_Impianti!C:E,3,0),"")</f>
        <v>DXT</v>
      </c>
      <c r="F8" s="93" t="str">
        <f aca="false">IFERROR(VLOOKUP(C8,DB_Impianti!C:F,4,0),"")</f>
        <v>Moncada Energy Group Srl</v>
      </c>
      <c r="G8" s="21" t="str">
        <f aca="false">IFERROR(VLOOKUP(C8,DB_Impianti!C:G,5,0),"")</f>
        <v>PVI_S19MNEN_001</v>
      </c>
      <c r="H8" s="24" t="n">
        <f aca="false">IFERROR(VLOOKUP(C8,DB_Impianti!C:H,6,0),0)</f>
        <v>-1.36</v>
      </c>
      <c r="I8" s="95" t="s">
        <v>466</v>
      </c>
      <c r="J8" s="23" t="n">
        <f aca="false">IFERROR(SUMIFS(Fonte_Dati!E:E,Fonte_Dati!D:D,C8,Fonte_Dati!C:C,"Febbraio")/1000,0)</f>
        <v>4379.17985288061</v>
      </c>
      <c r="K8" s="23" t="n">
        <f aca="false">IFERROR(SUMIFS(Fonte_Dati!F:F,Fonte_Dati!D:D,C8,Fonte_Dati!C:C,"Febbraio")/1000,0)</f>
        <v>4379.17985288061</v>
      </c>
      <c r="L8" s="24" t="n">
        <f aca="false">IFERROR(SUMIFS(Fonte_Dati!G:G,Fonte_Dati!D:D,C8,Fonte_Dati!C:C,"Febbraio"),0)</f>
        <v>453202.878322132</v>
      </c>
      <c r="M8" s="24" t="n">
        <f aca="false">IFERROR(SUMIFS(Fonte_Dati!H:H,Fonte_Dati!D:D,C8,Fonte_Dati!C:C,"Febbraio"),0)</f>
        <v>-875.835970576122</v>
      </c>
      <c r="N8" s="40" t="n">
        <f aca="false">IFERROR(SUMIFS(Fonte_Dati!I:I,Fonte_Dati!D:D,C8,Fonte_Dati!C:C,"Febbraio"),0)</f>
        <v>452327.042351556</v>
      </c>
      <c r="O8" s="24" t="n">
        <f aca="false">IFERROR(N8/K8,0)</f>
        <v>103.290355168678</v>
      </c>
      <c r="P8" s="92"/>
    </row>
    <row r="9" customFormat="false" ht="16.5" hidden="false" customHeight="true" outlineLevel="0" collapsed="false">
      <c r="A9" s="92"/>
      <c r="B9" s="38" t="n">
        <v>1</v>
      </c>
      <c r="C9" s="22" t="s">
        <v>336</v>
      </c>
      <c r="D9" s="71" t="s">
        <v>334</v>
      </c>
      <c r="E9" s="93" t="str">
        <f aca="false">IFERROR(VLOOKUP(C9,DB_Impianti!C:E,3,0),"")</f>
        <v>DXT</v>
      </c>
      <c r="F9" s="93" t="str">
        <f aca="false">IFERROR(VLOOKUP(C9,DB_Impianti!C:F,4,0),"")</f>
        <v>Moncada Energy Group Srl</v>
      </c>
      <c r="G9" s="21" t="str">
        <f aca="false">IFERROR(VLOOKUP(C9,DB_Impianti!C:G,5,0),"")</f>
        <v>PVI_S19MNEN_001</v>
      </c>
      <c r="H9" s="24" t="n">
        <f aca="false">IFERROR(VLOOKUP(C9,DB_Impianti!C:H,6,0),0)</f>
        <v>-1.36</v>
      </c>
      <c r="I9" s="96" t="s">
        <v>467</v>
      </c>
      <c r="J9" s="23" t="n">
        <f aca="false">IFERROR(SUMIFS(Fonte_Dati!E:E,Fonte_Dati!D:D,C9,Fonte_Dati!C:C,"Marzo")/1000,0)</f>
        <v>0.348540819228402</v>
      </c>
      <c r="K9" s="23" t="n">
        <f aca="false">IFERROR(SUMIFS(Fonte_Dati!F:F,Fonte_Dati!D:D,C9,Fonte_Dati!C:C,"Marzo")/1000,0)</f>
        <v>0.356557258070656</v>
      </c>
      <c r="L9" s="24" t="n">
        <f aca="false">IFERROR(SUMIFS(Fonte_Dati!G:G,Fonte_Dati!D:D,C9,Fonte_Dati!C:C,"Marzo"),0)</f>
        <v>43.3145757104232</v>
      </c>
      <c r="M9" s="24" t="n">
        <f aca="false">IFERROR(SUMIFS(Fonte_Dati!H:H,Fonte_Dati!D:D,C9,Fonte_Dati!C:C,"Marzo"),0)</f>
        <v>-0.0713114516141311</v>
      </c>
      <c r="N9" s="40" t="n">
        <f aca="false">IFERROR(SUMIFS(Fonte_Dati!I:I,Fonte_Dati!D:D,C9,Fonte_Dati!C:C,"Marzo"),0)</f>
        <v>43.2432642588091</v>
      </c>
      <c r="O9" s="24" t="n">
        <f aca="false">IFERROR(N9/K9,0)</f>
        <v>121.28</v>
      </c>
      <c r="P9" s="92"/>
    </row>
    <row r="10" customFormat="false" ht="16.5" hidden="false" customHeight="true" outlineLevel="0" collapsed="false">
      <c r="A10" s="92"/>
      <c r="B10" s="38" t="n">
        <v>2</v>
      </c>
      <c r="C10" s="22" t="s">
        <v>333</v>
      </c>
      <c r="D10" s="71" t="s">
        <v>334</v>
      </c>
      <c r="E10" s="97" t="str">
        <f aca="false">IFERROR(VLOOKUP(C10,DB_Impianti!C:E,3,0),"")</f>
        <v>BANCO ENERGIA</v>
      </c>
      <c r="F10" s="97" t="str">
        <f aca="false">IFERROR(VLOOKUP(C10,DB_Impianti!C:F,4,0),"")</f>
        <v>Moncada Energy Group Srl</v>
      </c>
      <c r="G10" s="25" t="str">
        <f aca="false">IFERROR(VLOOKUP(C10,DB_Impianti!C:G,5,0),"")</f>
        <v>PVI_S19MDEN_001</v>
      </c>
      <c r="H10" s="27" t="n">
        <f aca="false">IFERROR(VLOOKUP(C10,DB_Impianti!C:H,6,0),0)</f>
        <v>-1.86</v>
      </c>
      <c r="I10" s="94" t="s">
        <v>465</v>
      </c>
      <c r="J10" s="26" t="n">
        <f aca="false">IFERROR(SUMIFS(Fonte_Dati!E:E,Fonte_Dati!D:D,C10,Fonte_Dati!C:C,"Gennaio")/1000,0)</f>
        <v>3977.12271329138</v>
      </c>
      <c r="K10" s="26" t="n">
        <f aca="false">IFERROR(SUMIFS(Fonte_Dati!F:F,Fonte_Dati!D:D,C10,Fonte_Dati!C:C,"Gennaio")/1000,0)</f>
        <v>3977.12271329138</v>
      </c>
      <c r="L10" s="27" t="n">
        <f aca="false">IFERROR(SUMIFS(Fonte_Dati!G:G,Fonte_Dati!D:D,C10,Fonte_Dati!C:C,"Gennaio"),0)</f>
        <v>481202.521276204</v>
      </c>
      <c r="M10" s="27" t="n">
        <f aca="false">IFERROR(SUMIFS(Fonte_Dati!H:H,Fonte_Dati!D:D,C10,Fonte_Dati!C:C,"Gennaio"),0)</f>
        <v>-795.424542658275</v>
      </c>
      <c r="N10" s="43" t="n">
        <f aca="false">IFERROR(SUMIFS(Fonte_Dati!I:I,Fonte_Dati!D:D,C10,Fonte_Dati!C:C,"Gennaio"),0)</f>
        <v>480407.096733545</v>
      </c>
      <c r="O10" s="27" t="n">
        <f aca="false">IFERROR(N10/K10,0)</f>
        <v>120.792626068098</v>
      </c>
      <c r="P10" s="92"/>
    </row>
    <row r="11" customFormat="false" ht="16.5" hidden="false" customHeight="true" outlineLevel="0" collapsed="false">
      <c r="A11" s="92"/>
      <c r="B11" s="38" t="n">
        <v>2</v>
      </c>
      <c r="C11" s="22" t="s">
        <v>333</v>
      </c>
      <c r="D11" s="71" t="s">
        <v>334</v>
      </c>
      <c r="E11" s="97" t="str">
        <f aca="false">IFERROR(VLOOKUP(C11,DB_Impianti!C:E,3,0),"")</f>
        <v>BANCO ENERGIA</v>
      </c>
      <c r="F11" s="97" t="str">
        <f aca="false">IFERROR(VLOOKUP(C11,DB_Impianti!C:F,4,0),"")</f>
        <v>Moncada Energy Group Srl</v>
      </c>
      <c r="G11" s="25" t="str">
        <f aca="false">IFERROR(VLOOKUP(C11,DB_Impianti!C:G,5,0),"")</f>
        <v>PVI_S19MDEN_001</v>
      </c>
      <c r="H11" s="27" t="n">
        <f aca="false">IFERROR(VLOOKUP(C11,DB_Impianti!C:H,6,0),0)</f>
        <v>-1.86</v>
      </c>
      <c r="I11" s="95" t="s">
        <v>466</v>
      </c>
      <c r="J11" s="26" t="n">
        <f aca="false">IFERROR(SUMIFS(Fonte_Dati!E:E,Fonte_Dati!D:D,C11,Fonte_Dati!C:C,"Febbraio")/1000,0)</f>
        <v>4130.19211004309</v>
      </c>
      <c r="K11" s="26" t="n">
        <f aca="false">IFERROR(SUMIFS(Fonte_Dati!F:F,Fonte_Dati!D:D,C11,Fonte_Dati!C:C,"Febbraio")/1000,0)</f>
        <v>4130.19211004309</v>
      </c>
      <c r="L11" s="27" t="n">
        <f aca="false">IFERROR(SUMIFS(Fonte_Dati!G:G,Fonte_Dati!D:D,C11,Fonte_Dati!C:C,"Febbraio"),0)</f>
        <v>427229.742366253</v>
      </c>
      <c r="M11" s="27" t="n">
        <f aca="false">IFERROR(SUMIFS(Fonte_Dati!H:H,Fonte_Dati!D:D,C11,Fonte_Dati!C:C,"Febbraio"),0)</f>
        <v>-826.038422008618</v>
      </c>
      <c r="N11" s="43" t="n">
        <f aca="false">IFERROR(SUMIFS(Fonte_Dati!I:I,Fonte_Dati!D:D,C11,Fonte_Dati!C:C,"Febbraio"),0)</f>
        <v>426403.703944244</v>
      </c>
      <c r="O11" s="27" t="n">
        <f aca="false">IFERROR(N11/K11,0)</f>
        <v>103.240646580915</v>
      </c>
      <c r="P11" s="92"/>
    </row>
    <row r="12" customFormat="false" ht="16.5" hidden="false" customHeight="true" outlineLevel="0" collapsed="false">
      <c r="A12" s="92"/>
      <c r="B12" s="38" t="n">
        <v>2</v>
      </c>
      <c r="C12" s="22" t="s">
        <v>333</v>
      </c>
      <c r="D12" s="71" t="s">
        <v>334</v>
      </c>
      <c r="E12" s="97" t="str">
        <f aca="false">IFERROR(VLOOKUP(C12,DB_Impianti!C:E,3,0),"")</f>
        <v>BANCO ENERGIA</v>
      </c>
      <c r="F12" s="97" t="str">
        <f aca="false">IFERROR(VLOOKUP(C12,DB_Impianti!C:F,4,0),"")</f>
        <v>Moncada Energy Group Srl</v>
      </c>
      <c r="G12" s="25" t="str">
        <f aca="false">IFERROR(VLOOKUP(C12,DB_Impianti!C:G,5,0),"")</f>
        <v>PVI_S19MDEN_001</v>
      </c>
      <c r="H12" s="27" t="n">
        <f aca="false">IFERROR(VLOOKUP(C12,DB_Impianti!C:H,6,0),0)</f>
        <v>-1.86</v>
      </c>
      <c r="I12" s="96" t="s">
        <v>467</v>
      </c>
      <c r="J12" s="26" t="n">
        <f aca="false">IFERROR(SUMIFS(Fonte_Dati!E:E,Fonte_Dati!D:D,C12,Fonte_Dati!C:C,"Marzo")/1000,0)</f>
        <v>0</v>
      </c>
      <c r="K12" s="26" t="n">
        <f aca="false">IFERROR(SUMIFS(Fonte_Dati!F:F,Fonte_Dati!D:D,C12,Fonte_Dati!C:C,"Marzo")/1000,0)</f>
        <v>0</v>
      </c>
      <c r="L12" s="27" t="n">
        <f aca="false">IFERROR(SUMIFS(Fonte_Dati!G:G,Fonte_Dati!D:D,C12,Fonte_Dati!C:C,"Marzo"),0)</f>
        <v>0</v>
      </c>
      <c r="M12" s="27" t="n">
        <f aca="false">IFERROR(SUMIFS(Fonte_Dati!H:H,Fonte_Dati!D:D,C12,Fonte_Dati!C:C,"Marzo"),0)</f>
        <v>0</v>
      </c>
      <c r="N12" s="43" t="n">
        <f aca="false">IFERROR(SUMIFS(Fonte_Dati!I:I,Fonte_Dati!D:D,C12,Fonte_Dati!C:C,"Marzo"),0)</f>
        <v>0</v>
      </c>
      <c r="O12" s="27" t="n">
        <f aca="false">IFERROR(N12/K12,0)</f>
        <v>0</v>
      </c>
      <c r="P12" s="92"/>
    </row>
    <row r="13" customFormat="false" ht="16.5" hidden="false" customHeight="true" outlineLevel="0" collapsed="false">
      <c r="A13" s="92"/>
      <c r="B13" s="38" t="n">
        <v>3</v>
      </c>
      <c r="C13" s="22" t="s">
        <v>335</v>
      </c>
      <c r="D13" s="71" t="s">
        <v>334</v>
      </c>
      <c r="E13" s="93" t="str">
        <f aca="false">IFERROR(VLOOKUP(C13,DB_Impianti!C:E,3,0),"")</f>
        <v>DXT</v>
      </c>
      <c r="F13" s="93" t="str">
        <f aca="false">IFERROR(VLOOKUP(C13,DB_Impianti!C:F,4,0),"")</f>
        <v>Moncada Energy Group Srl</v>
      </c>
      <c r="G13" s="21" t="str">
        <f aca="false">IFERROR(VLOOKUP(C13,DB_Impianti!C:G,5,0),"")</f>
        <v>PVI_S19MMEN_001</v>
      </c>
      <c r="H13" s="24" t="n">
        <f aca="false">IFERROR(VLOOKUP(C13,DB_Impianti!C:H,6,0),0)</f>
        <v>-1.36</v>
      </c>
      <c r="I13" s="94" t="s">
        <v>465</v>
      </c>
      <c r="J13" s="23" t="n">
        <f aca="false">IFERROR(SUMIFS(Fonte_Dati!E:E,Fonte_Dati!D:D,C13,Fonte_Dati!C:C,"Gennaio")/1000,0)</f>
        <v>1906.8541571099</v>
      </c>
      <c r="K13" s="23" t="n">
        <f aca="false">IFERROR(SUMIFS(Fonte_Dati!F:F,Fonte_Dati!D:D,C13,Fonte_Dati!C:C,"Gennaio")/1000,0)</f>
        <v>1906.8541571099</v>
      </c>
      <c r="L13" s="24" t="n">
        <f aca="false">IFERROR(SUMIFS(Fonte_Dati!G:G,Fonte_Dati!D:D,C13,Fonte_Dati!C:C,"Gennaio"),0)</f>
        <v>227341.494960739</v>
      </c>
      <c r="M13" s="24" t="n">
        <f aca="false">IFERROR(SUMIFS(Fonte_Dati!H:H,Fonte_Dati!D:D,C13,Fonte_Dati!C:C,"Gennaio"),0)</f>
        <v>-381.37083142198</v>
      </c>
      <c r="N13" s="40" t="n">
        <f aca="false">IFERROR(SUMIFS(Fonte_Dati!I:I,Fonte_Dati!D:D,C13,Fonte_Dati!C:C,"Gennaio"),0)</f>
        <v>226960.124129317</v>
      </c>
      <c r="O13" s="24" t="n">
        <f aca="false">IFERROR(N13/K13,0)</f>
        <v>119.023326080326</v>
      </c>
      <c r="P13" s="92"/>
    </row>
    <row r="14" customFormat="false" ht="16.5" hidden="false" customHeight="true" outlineLevel="0" collapsed="false">
      <c r="A14" s="92"/>
      <c r="B14" s="38" t="n">
        <v>3</v>
      </c>
      <c r="C14" s="22" t="s">
        <v>335</v>
      </c>
      <c r="D14" s="71" t="s">
        <v>334</v>
      </c>
      <c r="E14" s="93" t="str">
        <f aca="false">IFERROR(VLOOKUP(C14,DB_Impianti!C:E,3,0),"")</f>
        <v>DXT</v>
      </c>
      <c r="F14" s="93" t="str">
        <f aca="false">IFERROR(VLOOKUP(C14,DB_Impianti!C:F,4,0),"")</f>
        <v>Moncada Energy Group Srl</v>
      </c>
      <c r="G14" s="21" t="str">
        <f aca="false">IFERROR(VLOOKUP(C14,DB_Impianti!C:G,5,0),"")</f>
        <v>PVI_S19MMEN_001</v>
      </c>
      <c r="H14" s="24" t="n">
        <f aca="false">IFERROR(VLOOKUP(C14,DB_Impianti!C:H,6,0),0)</f>
        <v>-1.36</v>
      </c>
      <c r="I14" s="95" t="s">
        <v>466</v>
      </c>
      <c r="J14" s="23" t="n">
        <f aca="false">IFERROR(SUMIFS(Fonte_Dati!E:E,Fonte_Dati!D:D,C14,Fonte_Dati!C:C,"Febbraio")/1000,0)</f>
        <v>2037.27916016772</v>
      </c>
      <c r="K14" s="23" t="n">
        <f aca="false">IFERROR(SUMIFS(Fonte_Dati!F:F,Fonte_Dati!D:D,C14,Fonte_Dati!C:C,"Febbraio")/1000,0)</f>
        <v>2037.27916016772</v>
      </c>
      <c r="L14" s="24" t="n">
        <f aca="false">IFERROR(SUMIFS(Fonte_Dati!G:G,Fonte_Dati!D:D,C14,Fonte_Dati!C:C,"Febbraio"),0)</f>
        <v>217599.319613935</v>
      </c>
      <c r="M14" s="24" t="n">
        <f aca="false">IFERROR(SUMIFS(Fonte_Dati!H:H,Fonte_Dati!D:D,C14,Fonte_Dati!C:C,"Febbraio"),0)</f>
        <v>-407.455832033544</v>
      </c>
      <c r="N14" s="40" t="n">
        <f aca="false">IFERROR(SUMIFS(Fonte_Dati!I:I,Fonte_Dati!D:D,C14,Fonte_Dati!C:C,"Febbraio"),0)</f>
        <v>217191.863781901</v>
      </c>
      <c r="O14" s="24" t="n">
        <f aca="false">IFERROR(N14/K14,0)</f>
        <v>106.608788833839</v>
      </c>
      <c r="P14" s="92"/>
    </row>
    <row r="15" customFormat="false" ht="16.5" hidden="false" customHeight="true" outlineLevel="0" collapsed="false">
      <c r="A15" s="92"/>
      <c r="B15" s="38" t="n">
        <v>3</v>
      </c>
      <c r="C15" s="22" t="s">
        <v>335</v>
      </c>
      <c r="D15" s="71" t="s">
        <v>334</v>
      </c>
      <c r="E15" s="93" t="str">
        <f aca="false">IFERROR(VLOOKUP(C15,DB_Impianti!C:E,3,0),"")</f>
        <v>DXT</v>
      </c>
      <c r="F15" s="93" t="str">
        <f aca="false">IFERROR(VLOOKUP(C15,DB_Impianti!C:F,4,0),"")</f>
        <v>Moncada Energy Group Srl</v>
      </c>
      <c r="G15" s="21" t="str">
        <f aca="false">IFERROR(VLOOKUP(C15,DB_Impianti!C:G,5,0),"")</f>
        <v>PVI_S19MMEN_001</v>
      </c>
      <c r="H15" s="24" t="n">
        <f aca="false">IFERROR(VLOOKUP(C15,DB_Impianti!C:H,6,0),0)</f>
        <v>-1.36</v>
      </c>
      <c r="I15" s="96" t="s">
        <v>467</v>
      </c>
      <c r="J15" s="23" t="n">
        <f aca="false">IFERROR(SUMIFS(Fonte_Dati!E:E,Fonte_Dati!D:D,C15,Fonte_Dati!C:C,"Marzo")/1000,0)</f>
        <v>0.922949397590387</v>
      </c>
      <c r="K15" s="23" t="n">
        <f aca="false">IFERROR(SUMIFS(Fonte_Dati!F:F,Fonte_Dati!D:D,C15,Fonte_Dati!C:C,"Marzo")/1000,0)</f>
        <v>0.944177233734966</v>
      </c>
      <c r="L15" s="24" t="n">
        <f aca="false">IFERROR(SUMIFS(Fonte_Dati!G:G,Fonte_Dati!D:D,C15,Fonte_Dati!C:C,"Marzo"),0)</f>
        <v>114.698650354124</v>
      </c>
      <c r="M15" s="24" t="n">
        <f aca="false">IFERROR(SUMIFS(Fonte_Dati!H:H,Fonte_Dati!D:D,C15,Fonte_Dati!C:C,"Marzo"),0)</f>
        <v>-0.188835446746993</v>
      </c>
      <c r="N15" s="40" t="n">
        <f aca="false">IFERROR(SUMIFS(Fonte_Dati!I:I,Fonte_Dati!D:D,C15,Fonte_Dati!C:C,"Marzo"),0)</f>
        <v>114.509814907377</v>
      </c>
      <c r="O15" s="24" t="n">
        <f aca="false">IFERROR(N15/K15,0)</f>
        <v>121.28</v>
      </c>
      <c r="P15" s="92"/>
    </row>
    <row r="16" customFormat="false" ht="16.5" hidden="false" customHeight="true" outlineLevel="0" collapsed="false">
      <c r="A16" s="92"/>
      <c r="B16" s="38" t="n">
        <v>4</v>
      </c>
      <c r="C16" s="22" t="s">
        <v>323</v>
      </c>
      <c r="D16" s="75" t="s">
        <v>320</v>
      </c>
      <c r="E16" s="97" t="str">
        <f aca="false">IFERROR(VLOOKUP(C16,DB_Impianti!C:E,3,0),"")</f>
        <v>AXPO</v>
      </c>
      <c r="F16" s="97" t="str">
        <f aca="false">IFERROR(VLOOKUP(C16,DB_Impianti!C:F,4,0),"")</f>
        <v>Biopower 2 Srl</v>
      </c>
      <c r="G16" s="25" t="n">
        <f aca="false">IFERROR(VLOOKUP(C16,DB_Impianti!C:G,5,0),"")</f>
        <v>0</v>
      </c>
      <c r="H16" s="27" t="n">
        <f aca="false">IFERROR(VLOOKUP(C16,DB_Impianti!C:H,6,0),0)</f>
        <v>-0.2</v>
      </c>
      <c r="I16" s="94" t="s">
        <v>465</v>
      </c>
      <c r="J16" s="26" t="n">
        <f aca="false">IFERROR(SUMIFS(Fonte_Dati!E:E,Fonte_Dati!D:D,C16,Fonte_Dati!C:C,"Gennaio")/1000,0)</f>
        <v>629.425759999999</v>
      </c>
      <c r="K16" s="26" t="n">
        <f aca="false">IFERROR(SUMIFS(Fonte_Dati!F:F,Fonte_Dati!D:D,C16,Fonte_Dati!C:C,"Gennaio")/1000,0)</f>
        <v>643.902552479998</v>
      </c>
      <c r="L16" s="27" t="n">
        <f aca="false">IFERROR(SUMIFS(Fonte_Dati!G:G,Fonte_Dati!D:D,C16,Fonte_Dati!C:C,"Gennaio"),0)</f>
        <v>76759.6841139122</v>
      </c>
      <c r="M16" s="27" t="n">
        <f aca="false">IFERROR(SUMIFS(Fonte_Dati!H:H,Fonte_Dati!D:D,C16,Fonte_Dati!C:C,"Gennaio"),0)</f>
        <v>-128.780510496</v>
      </c>
      <c r="N16" s="43" t="n">
        <f aca="false">IFERROR(SUMIFS(Fonte_Dati!I:I,Fonte_Dati!D:D,C16,Fonte_Dati!C:C,"Gennaio"),0)</f>
        <v>76630.9036034162</v>
      </c>
      <c r="O16" s="27" t="n">
        <f aca="false">IFERROR(N16/K16,0)</f>
        <v>119.010094475121</v>
      </c>
      <c r="P16" s="92"/>
    </row>
    <row r="17" customFormat="false" ht="16.5" hidden="false" customHeight="true" outlineLevel="0" collapsed="false">
      <c r="A17" s="92"/>
      <c r="B17" s="38" t="n">
        <v>4</v>
      </c>
      <c r="C17" s="22" t="s">
        <v>323</v>
      </c>
      <c r="D17" s="75" t="s">
        <v>320</v>
      </c>
      <c r="E17" s="97" t="str">
        <f aca="false">IFERROR(VLOOKUP(C17,DB_Impianti!C:E,3,0),"")</f>
        <v>AXPO</v>
      </c>
      <c r="F17" s="97" t="str">
        <f aca="false">IFERROR(VLOOKUP(C17,DB_Impianti!C:F,4,0),"")</f>
        <v>Biopower 2 Srl</v>
      </c>
      <c r="G17" s="25" t="n">
        <f aca="false">IFERROR(VLOOKUP(C17,DB_Impianti!C:G,5,0),"")</f>
        <v>0</v>
      </c>
      <c r="H17" s="27" t="n">
        <f aca="false">IFERROR(VLOOKUP(C17,DB_Impianti!C:H,6,0),0)</f>
        <v>-0.2</v>
      </c>
      <c r="I17" s="95" t="s">
        <v>466</v>
      </c>
      <c r="J17" s="26" t="n">
        <f aca="false">IFERROR(SUMIFS(Fonte_Dati!E:E,Fonte_Dati!D:D,C17,Fonte_Dati!C:C,"Febbraio")/1000,0)</f>
        <v>914.786720000001</v>
      </c>
      <c r="K17" s="26" t="n">
        <f aca="false">IFERROR(SUMIFS(Fonte_Dati!F:F,Fonte_Dati!D:D,C17,Fonte_Dati!C:C,"Febbraio")/1000,0)</f>
        <v>935.82681456</v>
      </c>
      <c r="L17" s="27" t="n">
        <f aca="false">IFERROR(SUMIFS(Fonte_Dati!G:G,Fonte_Dati!D:D,C17,Fonte_Dati!C:C,"Febbraio"),0)</f>
        <v>73646.9904991416</v>
      </c>
      <c r="M17" s="27" t="n">
        <f aca="false">IFERROR(SUMIFS(Fonte_Dati!H:H,Fonte_Dati!D:D,C17,Fonte_Dati!C:C,"Febbraio"),0)</f>
        <v>-187.165362912</v>
      </c>
      <c r="N17" s="43" t="n">
        <f aca="false">IFERROR(SUMIFS(Fonte_Dati!I:I,Fonte_Dati!D:D,C17,Fonte_Dati!C:C,"Febbraio"),0)</f>
        <v>73459.8251362295</v>
      </c>
      <c r="O17" s="27" t="n">
        <f aca="false">IFERROR(N17/K17,0)</f>
        <v>78.4972432861611</v>
      </c>
      <c r="P17" s="92"/>
    </row>
    <row r="18" customFormat="false" ht="16.5" hidden="false" customHeight="true" outlineLevel="0" collapsed="false">
      <c r="A18" s="92"/>
      <c r="B18" s="38" t="n">
        <v>4</v>
      </c>
      <c r="C18" s="22" t="s">
        <v>323</v>
      </c>
      <c r="D18" s="75" t="s">
        <v>320</v>
      </c>
      <c r="E18" s="97" t="str">
        <f aca="false">IFERROR(VLOOKUP(C18,DB_Impianti!C:E,3,0),"")</f>
        <v>AXPO</v>
      </c>
      <c r="F18" s="97" t="str">
        <f aca="false">IFERROR(VLOOKUP(C18,DB_Impianti!C:F,4,0),"")</f>
        <v>Biopower 2 Srl</v>
      </c>
      <c r="G18" s="25" t="n">
        <f aca="false">IFERROR(VLOOKUP(C18,DB_Impianti!C:G,5,0),"")</f>
        <v>0</v>
      </c>
      <c r="H18" s="27" t="n">
        <f aca="false">IFERROR(VLOOKUP(C18,DB_Impianti!C:H,6,0),0)</f>
        <v>-0.2</v>
      </c>
      <c r="I18" s="96" t="s">
        <v>467</v>
      </c>
      <c r="J18" s="26" t="n">
        <f aca="false">IFERROR(SUMIFS(Fonte_Dati!E:E,Fonte_Dati!D:D,C18,Fonte_Dati!C:C,"Marzo")/1000,0)</f>
        <v>0</v>
      </c>
      <c r="K18" s="26" t="n">
        <f aca="false">IFERROR(SUMIFS(Fonte_Dati!F:F,Fonte_Dati!D:D,C18,Fonte_Dati!C:C,"Marzo")/1000,0)</f>
        <v>0</v>
      </c>
      <c r="L18" s="27" t="n">
        <f aca="false">IFERROR(SUMIFS(Fonte_Dati!G:G,Fonte_Dati!D:D,C18,Fonte_Dati!C:C,"Marzo"),0)</f>
        <v>0</v>
      </c>
      <c r="M18" s="27" t="n">
        <f aca="false">IFERROR(SUMIFS(Fonte_Dati!H:H,Fonte_Dati!D:D,C18,Fonte_Dati!C:C,"Marzo"),0)</f>
        <v>0</v>
      </c>
      <c r="N18" s="43" t="n">
        <f aca="false">IFERROR(SUMIFS(Fonte_Dati!I:I,Fonte_Dati!D:D,C18,Fonte_Dati!C:C,"Marzo"),0)</f>
        <v>0</v>
      </c>
      <c r="O18" s="27" t="n">
        <f aca="false">IFERROR(N18/K18,0)</f>
        <v>0</v>
      </c>
      <c r="P18" s="92"/>
    </row>
    <row r="19" customFormat="false" ht="16.5" hidden="false" customHeight="true" outlineLevel="0" collapsed="false">
      <c r="A19" s="92"/>
      <c r="B19" s="38" t="n">
        <v>5</v>
      </c>
      <c r="C19" s="22" t="s">
        <v>322</v>
      </c>
      <c r="D19" s="75" t="s">
        <v>320</v>
      </c>
      <c r="E19" s="93" t="str">
        <f aca="false">IFERROR(VLOOKUP(C19,DB_Impianti!C:E,3,0),"")</f>
        <v>AXPO</v>
      </c>
      <c r="F19" s="93" t="str">
        <f aca="false">IFERROR(VLOOKUP(C19,DB_Impianti!C:F,4,0),"")</f>
        <v>Biopower 3 Srl</v>
      </c>
      <c r="G19" s="21" t="n">
        <f aca="false">IFERROR(VLOOKUP(C19,DB_Impianti!C:G,5,0),"")</f>
        <v>0</v>
      </c>
      <c r="H19" s="24" t="n">
        <f aca="false">IFERROR(VLOOKUP(C19,DB_Impianti!C:H,6,0),0)</f>
        <v>-0.2</v>
      </c>
      <c r="I19" s="94" t="s">
        <v>465</v>
      </c>
      <c r="J19" s="23" t="n">
        <f aca="false">IFERROR(SUMIFS(Fonte_Dati!E:E,Fonte_Dati!D:D,C19,Fonte_Dati!C:C,"Gennaio")/1000,0)</f>
        <v>652.4864</v>
      </c>
      <c r="K19" s="23" t="n">
        <f aca="false">IFERROR(SUMIFS(Fonte_Dati!F:F,Fonte_Dati!D:D,C19,Fonte_Dati!C:C,"Gennaio")/1000,0)</f>
        <v>667.4935872</v>
      </c>
      <c r="L19" s="24" t="n">
        <f aca="false">IFERROR(SUMIFS(Fonte_Dati!G:G,Fonte_Dati!D:D,C19,Fonte_Dati!C:C,"Gennaio"),0)</f>
        <v>79168.4127897601</v>
      </c>
      <c r="M19" s="24" t="n">
        <f aca="false">IFERROR(SUMIFS(Fonte_Dati!H:H,Fonte_Dati!D:D,C19,Fonte_Dati!C:C,"Gennaio"),0)</f>
        <v>-133.49871744</v>
      </c>
      <c r="N19" s="40" t="n">
        <f aca="false">IFERROR(SUMIFS(Fonte_Dati!I:I,Fonte_Dati!D:D,C19,Fonte_Dati!C:C,"Gennaio"),0)</f>
        <v>79034.9140723201</v>
      </c>
      <c r="O19" s="24" t="n">
        <f aca="false">IFERROR(N19/K19,0)</f>
        <v>118.405503195702</v>
      </c>
      <c r="P19" s="92"/>
    </row>
    <row r="20" customFormat="false" ht="16.5" hidden="false" customHeight="true" outlineLevel="0" collapsed="false">
      <c r="A20" s="92"/>
      <c r="B20" s="38" t="n">
        <v>5</v>
      </c>
      <c r="C20" s="22" t="s">
        <v>322</v>
      </c>
      <c r="D20" s="75" t="s">
        <v>320</v>
      </c>
      <c r="E20" s="93" t="str">
        <f aca="false">IFERROR(VLOOKUP(C20,DB_Impianti!C:E,3,0),"")</f>
        <v>AXPO</v>
      </c>
      <c r="F20" s="93" t="str">
        <f aca="false">IFERROR(VLOOKUP(C20,DB_Impianti!C:F,4,0),"")</f>
        <v>Biopower 3 Srl</v>
      </c>
      <c r="G20" s="21" t="n">
        <f aca="false">IFERROR(VLOOKUP(C20,DB_Impianti!C:G,5,0),"")</f>
        <v>0</v>
      </c>
      <c r="H20" s="24" t="n">
        <f aca="false">IFERROR(VLOOKUP(C20,DB_Impianti!C:H,6,0),0)</f>
        <v>-0.2</v>
      </c>
      <c r="I20" s="95" t="s">
        <v>466</v>
      </c>
      <c r="J20" s="23" t="n">
        <f aca="false">IFERROR(SUMIFS(Fonte_Dati!E:E,Fonte_Dati!D:D,C20,Fonte_Dati!C:C,"Febbraio")/1000,0)</f>
        <v>851.4772</v>
      </c>
      <c r="K20" s="23" t="n">
        <f aca="false">IFERROR(SUMIFS(Fonte_Dati!F:F,Fonte_Dati!D:D,C20,Fonte_Dati!C:C,"Febbraio")/1000,0)</f>
        <v>871.0611756</v>
      </c>
      <c r="L20" s="24" t="n">
        <f aca="false">IFERROR(SUMIFS(Fonte_Dati!G:G,Fonte_Dati!D:D,C20,Fonte_Dati!C:C,"Febbraio"),0)</f>
        <v>69188.2972196605</v>
      </c>
      <c r="M20" s="24" t="n">
        <f aca="false">IFERROR(SUMIFS(Fonte_Dati!H:H,Fonte_Dati!D:D,C20,Fonte_Dati!C:C,"Febbraio"),0)</f>
        <v>-174.21223512</v>
      </c>
      <c r="N20" s="40" t="n">
        <f aca="false">IFERROR(SUMIFS(Fonte_Dati!I:I,Fonte_Dati!D:D,C20,Fonte_Dati!C:C,"Febbraio"),0)</f>
        <v>69014.0849845405</v>
      </c>
      <c r="O20" s="24" t="n">
        <f aca="false">IFERROR(N20/K20,0)</f>
        <v>79.2298944296336</v>
      </c>
      <c r="P20" s="92"/>
    </row>
    <row r="21" customFormat="false" ht="16.5" hidden="false" customHeight="true" outlineLevel="0" collapsed="false">
      <c r="A21" s="92"/>
      <c r="B21" s="38" t="n">
        <v>5</v>
      </c>
      <c r="C21" s="22" t="s">
        <v>322</v>
      </c>
      <c r="D21" s="75" t="s">
        <v>320</v>
      </c>
      <c r="E21" s="93" t="str">
        <f aca="false">IFERROR(VLOOKUP(C21,DB_Impianti!C:E,3,0),"")</f>
        <v>AXPO</v>
      </c>
      <c r="F21" s="93" t="str">
        <f aca="false">IFERROR(VLOOKUP(C21,DB_Impianti!C:F,4,0),"")</f>
        <v>Biopower 3 Srl</v>
      </c>
      <c r="G21" s="21" t="n">
        <f aca="false">IFERROR(VLOOKUP(C21,DB_Impianti!C:G,5,0),"")</f>
        <v>0</v>
      </c>
      <c r="H21" s="24" t="n">
        <f aca="false">IFERROR(VLOOKUP(C21,DB_Impianti!C:H,6,0),0)</f>
        <v>-0.2</v>
      </c>
      <c r="I21" s="96" t="s">
        <v>467</v>
      </c>
      <c r="J21" s="23" t="n">
        <f aca="false">IFERROR(SUMIFS(Fonte_Dati!E:E,Fonte_Dati!D:D,C21,Fonte_Dati!C:C,"Marzo")/1000,0)</f>
        <v>0</v>
      </c>
      <c r="K21" s="23" t="n">
        <f aca="false">IFERROR(SUMIFS(Fonte_Dati!F:F,Fonte_Dati!D:D,C21,Fonte_Dati!C:C,"Marzo")/1000,0)</f>
        <v>0</v>
      </c>
      <c r="L21" s="24" t="n">
        <f aca="false">IFERROR(SUMIFS(Fonte_Dati!G:G,Fonte_Dati!D:D,C21,Fonte_Dati!C:C,"Marzo"),0)</f>
        <v>0</v>
      </c>
      <c r="M21" s="24" t="n">
        <f aca="false">IFERROR(SUMIFS(Fonte_Dati!H:H,Fonte_Dati!D:D,C21,Fonte_Dati!C:C,"Marzo"),0)</f>
        <v>0</v>
      </c>
      <c r="N21" s="40" t="n">
        <f aca="false">IFERROR(SUMIFS(Fonte_Dati!I:I,Fonte_Dati!D:D,C21,Fonte_Dati!C:C,"Marzo"),0)</f>
        <v>0</v>
      </c>
      <c r="O21" s="24" t="n">
        <f aca="false">IFERROR(N21/K21,0)</f>
        <v>0</v>
      </c>
      <c r="P21" s="92"/>
    </row>
    <row r="22" customFormat="false" ht="16.5" hidden="false" customHeight="true" outlineLevel="0" collapsed="false">
      <c r="A22" s="92"/>
      <c r="B22" s="38" t="n">
        <v>6</v>
      </c>
      <c r="C22" s="22" t="s">
        <v>319</v>
      </c>
      <c r="D22" s="75" t="s">
        <v>320</v>
      </c>
      <c r="E22" s="97" t="str">
        <f aca="false">IFERROR(VLOOKUP(C22,DB_Impianti!C:E,3,0),"")</f>
        <v>DXT</v>
      </c>
      <c r="F22" s="97" t="str">
        <f aca="false">IFERROR(VLOOKUP(C22,DB_Impianti!C:F,4,0),"")</f>
        <v>Energie Innovative Srl</v>
      </c>
      <c r="G22" s="25" t="str">
        <f aca="false">IFERROR(VLOOKUP(C22,DB_Impianti!C:G,5,0),"")</f>
        <v>PVI_0435789_001</v>
      </c>
      <c r="H22" s="27" t="n">
        <f aca="false">IFERROR(VLOOKUP(C22,DB_Impianti!C:H,6,0),0)</f>
        <v>-0.2</v>
      </c>
      <c r="I22" s="94" t="s">
        <v>465</v>
      </c>
      <c r="J22" s="26" t="n">
        <f aca="false">IFERROR(SUMIFS(Fonte_Dati!E:E,Fonte_Dati!D:D,C22,Fonte_Dati!C:C,"Gennaio")/1000,0)</f>
        <v>425.76024</v>
      </c>
      <c r="K22" s="26" t="n">
        <f aca="false">IFERROR(SUMIFS(Fonte_Dati!F:F,Fonte_Dati!D:D,C22,Fonte_Dati!C:C,"Gennaio")/1000,0)</f>
        <v>424.05719904</v>
      </c>
      <c r="L22" s="27" t="n">
        <f aca="false">IFERROR(SUMIFS(Fonte_Dati!G:G,Fonte_Dati!D:D,C22,Fonte_Dati!C:C,"Gennaio"),0)</f>
        <v>47434.0246618128</v>
      </c>
      <c r="M22" s="27" t="n">
        <f aca="false">IFERROR(SUMIFS(Fonte_Dati!H:H,Fonte_Dati!D:D,C22,Fonte_Dati!C:C,"Gennaio"),0)</f>
        <v>-84.8114398079999</v>
      </c>
      <c r="N22" s="43" t="n">
        <f aca="false">IFERROR(SUMIFS(Fonte_Dati!I:I,Fonte_Dati!D:D,C22,Fonte_Dati!C:C,"Gennaio"),0)</f>
        <v>47349.2132220048</v>
      </c>
      <c r="O22" s="27" t="n">
        <f aca="false">IFERROR(N22/K22,0)</f>
        <v>111.657609702644</v>
      </c>
      <c r="P22" s="92"/>
    </row>
    <row r="23" customFormat="false" ht="16.5" hidden="false" customHeight="true" outlineLevel="0" collapsed="false">
      <c r="A23" s="92"/>
      <c r="B23" s="38" t="n">
        <v>6</v>
      </c>
      <c r="C23" s="22" t="s">
        <v>319</v>
      </c>
      <c r="D23" s="75" t="s">
        <v>320</v>
      </c>
      <c r="E23" s="97" t="str">
        <f aca="false">IFERROR(VLOOKUP(C23,DB_Impianti!C:E,3,0),"")</f>
        <v>DXT</v>
      </c>
      <c r="F23" s="97" t="str">
        <f aca="false">IFERROR(VLOOKUP(C23,DB_Impianti!C:F,4,0),"")</f>
        <v>Energie Innovative Srl</v>
      </c>
      <c r="G23" s="25" t="str">
        <f aca="false">IFERROR(VLOOKUP(C23,DB_Impianti!C:G,5,0),"")</f>
        <v>PVI_0435789_001</v>
      </c>
      <c r="H23" s="27" t="n">
        <f aca="false">IFERROR(VLOOKUP(C23,DB_Impianti!C:H,6,0),0)</f>
        <v>-0.2</v>
      </c>
      <c r="I23" s="95" t="s">
        <v>466</v>
      </c>
      <c r="J23" s="26" t="n">
        <f aca="false">IFERROR(SUMIFS(Fonte_Dati!E:E,Fonte_Dati!D:D,C23,Fonte_Dati!C:C,"Febbraio")/1000,0)</f>
        <v>721.128240000005</v>
      </c>
      <c r="K23" s="26" t="n">
        <f aca="false">IFERROR(SUMIFS(Fonte_Dati!F:F,Fonte_Dati!D:D,C23,Fonte_Dati!C:C,"Febbraio")/1000,0)</f>
        <v>718.243727040005</v>
      </c>
      <c r="L23" s="27" t="n">
        <f aca="false">IFERROR(SUMIFS(Fonte_Dati!G:G,Fonte_Dati!D:D,C23,Fonte_Dati!C:C,"Febbraio"),0)</f>
        <v>56076.5738658954</v>
      </c>
      <c r="M23" s="27" t="n">
        <f aca="false">IFERROR(SUMIFS(Fonte_Dati!H:H,Fonte_Dati!D:D,C23,Fonte_Dati!C:C,"Febbraio"),0)</f>
        <v>-143.648745408001</v>
      </c>
      <c r="N23" s="43" t="n">
        <f aca="false">IFERROR(SUMIFS(Fonte_Dati!I:I,Fonte_Dati!D:D,C23,Fonte_Dati!C:C,"Febbraio"),0)</f>
        <v>55932.9251204873</v>
      </c>
      <c r="O23" s="27" t="n">
        <f aca="false">IFERROR(N23/K23,0)</f>
        <v>77.8745751821539</v>
      </c>
      <c r="P23" s="92"/>
    </row>
    <row r="24" customFormat="false" ht="16.5" hidden="false" customHeight="true" outlineLevel="0" collapsed="false">
      <c r="A24" s="92"/>
      <c r="B24" s="38" t="n">
        <v>6</v>
      </c>
      <c r="C24" s="22" t="s">
        <v>319</v>
      </c>
      <c r="D24" s="75" t="s">
        <v>320</v>
      </c>
      <c r="E24" s="97" t="str">
        <f aca="false">IFERROR(VLOOKUP(C24,DB_Impianti!C:E,3,0),"")</f>
        <v>DXT</v>
      </c>
      <c r="F24" s="97" t="str">
        <f aca="false">IFERROR(VLOOKUP(C24,DB_Impianti!C:F,4,0),"")</f>
        <v>Energie Innovative Srl</v>
      </c>
      <c r="G24" s="25" t="str">
        <f aca="false">IFERROR(VLOOKUP(C24,DB_Impianti!C:G,5,0),"")</f>
        <v>PVI_0435789_001</v>
      </c>
      <c r="H24" s="27" t="n">
        <f aca="false">IFERROR(VLOOKUP(C24,DB_Impianti!C:H,6,0),0)</f>
        <v>-0.2</v>
      </c>
      <c r="I24" s="96" t="s">
        <v>467</v>
      </c>
      <c r="J24" s="26" t="n">
        <f aca="false">IFERROR(SUMIFS(Fonte_Dati!E:E,Fonte_Dati!D:D,C24,Fonte_Dati!C:C,"Marzo")/1000,0)</f>
        <v>0</v>
      </c>
      <c r="K24" s="26" t="n">
        <f aca="false">IFERROR(SUMIFS(Fonte_Dati!F:F,Fonte_Dati!D:D,C24,Fonte_Dati!C:C,"Marzo")/1000,0)</f>
        <v>0</v>
      </c>
      <c r="L24" s="27" t="n">
        <f aca="false">IFERROR(SUMIFS(Fonte_Dati!G:G,Fonte_Dati!D:D,C24,Fonte_Dati!C:C,"Marzo"),0)</f>
        <v>0</v>
      </c>
      <c r="M24" s="27" t="n">
        <f aca="false">IFERROR(SUMIFS(Fonte_Dati!H:H,Fonte_Dati!D:D,C24,Fonte_Dati!C:C,"Marzo"),0)</f>
        <v>0</v>
      </c>
      <c r="N24" s="43" t="n">
        <f aca="false">IFERROR(SUMIFS(Fonte_Dati!I:I,Fonte_Dati!D:D,C24,Fonte_Dati!C:C,"Marzo"),0)</f>
        <v>0</v>
      </c>
      <c r="O24" s="27" t="n">
        <f aca="false">IFERROR(N24/K24,0)</f>
        <v>0</v>
      </c>
      <c r="P24" s="92"/>
    </row>
    <row r="25" customFormat="false" ht="16.5" hidden="false" customHeight="true" outlineLevel="0" collapsed="false">
      <c r="A25" s="92"/>
      <c r="B25" s="38" t="n">
        <v>7</v>
      </c>
      <c r="C25" s="22" t="s">
        <v>331</v>
      </c>
      <c r="D25" s="75" t="s">
        <v>320</v>
      </c>
      <c r="E25" s="93" t="str">
        <f aca="false">IFERROR(VLOOKUP(C25,DB_Impianti!C:E,3,0),"")</f>
        <v>DXT</v>
      </c>
      <c r="F25" s="93" t="str">
        <f aca="false">IFERROR(VLOOKUP(C25,DB_Impianti!C:F,4,0),"")</f>
        <v>Società Agricola Solar Farm 3 Srl</v>
      </c>
      <c r="G25" s="21" t="str">
        <f aca="false">IFERROR(VLOOKUP(C25,DB_Impianti!C:G,5,0),"")</f>
        <v>PVI_0363736_001</v>
      </c>
      <c r="H25" s="24" t="n">
        <f aca="false">IFERROR(VLOOKUP(C25,DB_Impianti!C:H,6,0),0)</f>
        <v>-0.2</v>
      </c>
      <c r="I25" s="94" t="s">
        <v>465</v>
      </c>
      <c r="J25" s="23" t="n">
        <f aca="false">IFERROR(SUMIFS(Fonte_Dati!E:E,Fonte_Dati!D:D,C25,Fonte_Dati!C:C,"Gennaio")/1000,0)</f>
        <v>356.199600000007</v>
      </c>
      <c r="K25" s="23" t="n">
        <f aca="false">IFERROR(SUMIFS(Fonte_Dati!F:F,Fonte_Dati!D:D,C25,Fonte_Dati!C:C,"Gennaio")/1000,0)</f>
        <v>364.392190800007</v>
      </c>
      <c r="L25" s="24" t="n">
        <f aca="false">IFERROR(SUMIFS(Fonte_Dati!G:G,Fonte_Dati!D:D,C25,Fonte_Dati!C:C,"Gennaio"),0)</f>
        <v>43280.1913045306</v>
      </c>
      <c r="M25" s="24" t="n">
        <f aca="false">IFERROR(SUMIFS(Fonte_Dati!H:H,Fonte_Dati!D:D,C25,Fonte_Dati!C:C,"Gennaio"),0)</f>
        <v>-72.8784381600015</v>
      </c>
      <c r="N25" s="40" t="n">
        <f aca="false">IFERROR(SUMIFS(Fonte_Dati!I:I,Fonte_Dati!D:D,C25,Fonte_Dati!C:C,"Gennaio"),0)</f>
        <v>43207.3128663706</v>
      </c>
      <c r="O25" s="24" t="n">
        <f aca="false">IFERROR(N25/K25,0)</f>
        <v>118.573652117821</v>
      </c>
      <c r="P25" s="92"/>
    </row>
    <row r="26" customFormat="false" ht="16.5" hidden="false" customHeight="true" outlineLevel="0" collapsed="false">
      <c r="A26" s="92"/>
      <c r="B26" s="38" t="n">
        <v>7</v>
      </c>
      <c r="C26" s="22" t="s">
        <v>331</v>
      </c>
      <c r="D26" s="75" t="s">
        <v>320</v>
      </c>
      <c r="E26" s="93" t="str">
        <f aca="false">IFERROR(VLOOKUP(C26,DB_Impianti!C:E,3,0),"")</f>
        <v>DXT</v>
      </c>
      <c r="F26" s="93" t="str">
        <f aca="false">IFERROR(VLOOKUP(C26,DB_Impianti!C:F,4,0),"")</f>
        <v>Società Agricola Solar Farm 3 Srl</v>
      </c>
      <c r="G26" s="21" t="str">
        <f aca="false">IFERROR(VLOOKUP(C26,DB_Impianti!C:G,5,0),"")</f>
        <v>PVI_0363736_001</v>
      </c>
      <c r="H26" s="24" t="n">
        <f aca="false">IFERROR(VLOOKUP(C26,DB_Impianti!C:H,6,0),0)</f>
        <v>-0.2</v>
      </c>
      <c r="I26" s="95" t="s">
        <v>466</v>
      </c>
      <c r="J26" s="23" t="n">
        <f aca="false">IFERROR(SUMIFS(Fonte_Dati!E:E,Fonte_Dati!D:D,C26,Fonte_Dati!C:C,"Febbraio")/1000,0)</f>
        <v>430.929599999996</v>
      </c>
      <c r="K26" s="23" t="n">
        <f aca="false">IFERROR(SUMIFS(Fonte_Dati!F:F,Fonte_Dati!D:D,C26,Fonte_Dati!C:C,"Febbraio")/1000,0)</f>
        <v>440.840980799995</v>
      </c>
      <c r="L26" s="24" t="n">
        <f aca="false">IFERROR(SUMIFS(Fonte_Dati!G:G,Fonte_Dati!D:D,C26,Fonte_Dati!C:C,"Febbraio"),0)</f>
        <v>34400.5401614863</v>
      </c>
      <c r="M26" s="24" t="n">
        <f aca="false">IFERROR(SUMIFS(Fonte_Dati!H:H,Fonte_Dati!D:D,C26,Fonte_Dati!C:C,"Febbraio"),0)</f>
        <v>-88.1681961599991</v>
      </c>
      <c r="N26" s="40" t="n">
        <f aca="false">IFERROR(SUMIFS(Fonte_Dati!I:I,Fonte_Dati!D:D,C26,Fonte_Dati!C:C,"Febbraio"),0)</f>
        <v>34312.3719653263</v>
      </c>
      <c r="O26" s="24" t="n">
        <f aca="false">IFERROR(N26/K26,0)</f>
        <v>77.8338980714987</v>
      </c>
      <c r="P26" s="92"/>
    </row>
    <row r="27" customFormat="false" ht="16.5" hidden="false" customHeight="true" outlineLevel="0" collapsed="false">
      <c r="A27" s="92"/>
      <c r="B27" s="38" t="n">
        <v>7</v>
      </c>
      <c r="C27" s="22" t="s">
        <v>331</v>
      </c>
      <c r="D27" s="75" t="s">
        <v>320</v>
      </c>
      <c r="E27" s="93" t="str">
        <f aca="false">IFERROR(VLOOKUP(C27,DB_Impianti!C:E,3,0),"")</f>
        <v>DXT</v>
      </c>
      <c r="F27" s="93" t="str">
        <f aca="false">IFERROR(VLOOKUP(C27,DB_Impianti!C:F,4,0),"")</f>
        <v>Società Agricola Solar Farm 3 Srl</v>
      </c>
      <c r="G27" s="21" t="str">
        <f aca="false">IFERROR(VLOOKUP(C27,DB_Impianti!C:G,5,0),"")</f>
        <v>PVI_0363736_001</v>
      </c>
      <c r="H27" s="24" t="n">
        <f aca="false">IFERROR(VLOOKUP(C27,DB_Impianti!C:H,6,0),0)</f>
        <v>-0.2</v>
      </c>
      <c r="I27" s="96" t="s">
        <v>467</v>
      </c>
      <c r="J27" s="23" t="n">
        <f aca="false">IFERROR(SUMIFS(Fonte_Dati!E:E,Fonte_Dati!D:D,C27,Fonte_Dati!C:C,"Marzo")/1000,0)</f>
        <v>0</v>
      </c>
      <c r="K27" s="23" t="n">
        <f aca="false">IFERROR(SUMIFS(Fonte_Dati!F:F,Fonte_Dati!D:D,C27,Fonte_Dati!C:C,"Marzo")/1000,0)</f>
        <v>0</v>
      </c>
      <c r="L27" s="24" t="n">
        <f aca="false">IFERROR(SUMIFS(Fonte_Dati!G:G,Fonte_Dati!D:D,C27,Fonte_Dati!C:C,"Marzo"),0)</f>
        <v>0</v>
      </c>
      <c r="M27" s="24" t="n">
        <f aca="false">IFERROR(SUMIFS(Fonte_Dati!H:H,Fonte_Dati!D:D,C27,Fonte_Dati!C:C,"Marzo"),0)</f>
        <v>0</v>
      </c>
      <c r="N27" s="40" t="n">
        <f aca="false">IFERROR(SUMIFS(Fonte_Dati!I:I,Fonte_Dati!D:D,C27,Fonte_Dati!C:C,"Marzo"),0)</f>
        <v>0</v>
      </c>
      <c r="O27" s="24" t="n">
        <f aca="false">IFERROR(N27/K27,0)</f>
        <v>0</v>
      </c>
      <c r="P27" s="92"/>
    </row>
    <row r="28" customFormat="false" ht="16.5" hidden="false" customHeight="true" outlineLevel="0" collapsed="false">
      <c r="A28" s="92"/>
      <c r="B28" s="38" t="n">
        <v>8</v>
      </c>
      <c r="C28" s="22" t="s">
        <v>330</v>
      </c>
      <c r="D28" s="75" t="s">
        <v>320</v>
      </c>
      <c r="E28" s="97" t="str">
        <f aca="false">IFERROR(VLOOKUP(C28,DB_Impianti!C:E,3,0),"")</f>
        <v>DXT</v>
      </c>
      <c r="F28" s="97" t="str">
        <f aca="false">IFERROR(VLOOKUP(C28,DB_Impianti!C:F,4,0),"")</f>
        <v>Società Agricola Solar Farm Srl</v>
      </c>
      <c r="G28" s="25" t="str">
        <f aca="false">IFERROR(VLOOKUP(C28,DB_Impianti!C:G,5,0),"")</f>
        <v>PVI_S19SNRR_001</v>
      </c>
      <c r="H28" s="27" t="n">
        <f aca="false">IFERROR(VLOOKUP(C28,DB_Impianti!C:H,6,0),0)</f>
        <v>-0.2</v>
      </c>
      <c r="I28" s="94" t="s">
        <v>465</v>
      </c>
      <c r="J28" s="26" t="n">
        <f aca="false">IFERROR(SUMIFS(Fonte_Dati!E:E,Fonte_Dati!D:D,C28,Fonte_Dati!C:C,"Gennaio")/1000,0)</f>
        <v>353.361600000007</v>
      </c>
      <c r="K28" s="26" t="n">
        <f aca="false">IFERROR(SUMIFS(Fonte_Dati!F:F,Fonte_Dati!D:D,C28,Fonte_Dati!C:C,"Gennaio")/1000,0)</f>
        <v>351.948153600008</v>
      </c>
      <c r="L28" s="27" t="n">
        <f aca="false">IFERROR(SUMIFS(Fonte_Dati!G:G,Fonte_Dati!D:D,C28,Fonte_Dati!C:C,"Gennaio"),0)</f>
        <v>41581.3097315157</v>
      </c>
      <c r="M28" s="27" t="n">
        <f aca="false">IFERROR(SUMIFS(Fonte_Dati!H:H,Fonte_Dati!D:D,C28,Fonte_Dati!C:C,"Gennaio"),0)</f>
        <v>-70.3896307200015</v>
      </c>
      <c r="N28" s="43" t="n">
        <f aca="false">IFERROR(SUMIFS(Fonte_Dati!I:I,Fonte_Dati!D:D,C28,Fonte_Dati!C:C,"Gennaio"),0)</f>
        <v>41510.9201007957</v>
      </c>
      <c r="O28" s="27" t="n">
        <f aca="false">IFERROR(N28/K28,0)</f>
        <v>117.946122677982</v>
      </c>
      <c r="P28" s="92"/>
    </row>
    <row r="29" customFormat="false" ht="16.5" hidden="false" customHeight="true" outlineLevel="0" collapsed="false">
      <c r="A29" s="92"/>
      <c r="B29" s="38" t="n">
        <v>8</v>
      </c>
      <c r="C29" s="22" t="s">
        <v>330</v>
      </c>
      <c r="D29" s="75" t="s">
        <v>320</v>
      </c>
      <c r="E29" s="97" t="str">
        <f aca="false">IFERROR(VLOOKUP(C29,DB_Impianti!C:E,3,0),"")</f>
        <v>DXT</v>
      </c>
      <c r="F29" s="97" t="str">
        <f aca="false">IFERROR(VLOOKUP(C29,DB_Impianti!C:F,4,0),"")</f>
        <v>Società Agricola Solar Farm Srl</v>
      </c>
      <c r="G29" s="25" t="str">
        <f aca="false">IFERROR(VLOOKUP(C29,DB_Impianti!C:G,5,0),"")</f>
        <v>PVI_S19SNRR_001</v>
      </c>
      <c r="H29" s="27" t="n">
        <f aca="false">IFERROR(VLOOKUP(C29,DB_Impianti!C:H,6,0),0)</f>
        <v>-0.2</v>
      </c>
      <c r="I29" s="95" t="s">
        <v>466</v>
      </c>
      <c r="J29" s="26" t="n">
        <f aca="false">IFERROR(SUMIFS(Fonte_Dati!E:E,Fonte_Dati!D:D,C29,Fonte_Dati!C:C,"Febbraio")/1000,0)</f>
        <v>448.145999999988</v>
      </c>
      <c r="K29" s="26" t="n">
        <f aca="false">IFERROR(SUMIFS(Fonte_Dati!F:F,Fonte_Dati!D:D,C29,Fonte_Dati!C:C,"Febbraio")/1000,0)</f>
        <v>446.353415999988</v>
      </c>
      <c r="L29" s="27" t="n">
        <f aca="false">IFERROR(SUMIFS(Fonte_Dati!G:G,Fonte_Dati!D:D,C29,Fonte_Dati!C:C,"Febbraio"),0)</f>
        <v>34543.1260201004</v>
      </c>
      <c r="M29" s="27" t="n">
        <f aca="false">IFERROR(SUMIFS(Fonte_Dati!H:H,Fonte_Dati!D:D,C29,Fonte_Dati!C:C,"Febbraio"),0)</f>
        <v>-89.2706831999976</v>
      </c>
      <c r="N29" s="43" t="n">
        <f aca="false">IFERROR(SUMIFS(Fonte_Dati!I:I,Fonte_Dati!D:D,C29,Fonte_Dati!C:C,"Febbraio"),0)</f>
        <v>34453.8553369004</v>
      </c>
      <c r="O29" s="27" t="n">
        <f aca="false">IFERROR(N29/K29,0)</f>
        <v>77.1896306869562</v>
      </c>
      <c r="P29" s="92"/>
    </row>
    <row r="30" customFormat="false" ht="16.5" hidden="false" customHeight="true" outlineLevel="0" collapsed="false">
      <c r="A30" s="92"/>
      <c r="B30" s="38" t="n">
        <v>8</v>
      </c>
      <c r="C30" s="22" t="s">
        <v>330</v>
      </c>
      <c r="D30" s="75" t="s">
        <v>320</v>
      </c>
      <c r="E30" s="97" t="str">
        <f aca="false">IFERROR(VLOOKUP(C30,DB_Impianti!C:E,3,0),"")</f>
        <v>DXT</v>
      </c>
      <c r="F30" s="97" t="str">
        <f aca="false">IFERROR(VLOOKUP(C30,DB_Impianti!C:F,4,0),"")</f>
        <v>Società Agricola Solar Farm Srl</v>
      </c>
      <c r="G30" s="25" t="str">
        <f aca="false">IFERROR(VLOOKUP(C30,DB_Impianti!C:G,5,0),"")</f>
        <v>PVI_S19SNRR_001</v>
      </c>
      <c r="H30" s="27" t="n">
        <f aca="false">IFERROR(VLOOKUP(C30,DB_Impianti!C:H,6,0),0)</f>
        <v>-0.2</v>
      </c>
      <c r="I30" s="96" t="s">
        <v>467</v>
      </c>
      <c r="J30" s="26" t="n">
        <f aca="false">IFERROR(SUMIFS(Fonte_Dati!E:E,Fonte_Dati!D:D,C30,Fonte_Dati!C:C,"Marzo")/1000,0)</f>
        <v>0</v>
      </c>
      <c r="K30" s="26" t="n">
        <f aca="false">IFERROR(SUMIFS(Fonte_Dati!F:F,Fonte_Dati!D:D,C30,Fonte_Dati!C:C,"Marzo")/1000,0)</f>
        <v>0</v>
      </c>
      <c r="L30" s="27" t="n">
        <f aca="false">IFERROR(SUMIFS(Fonte_Dati!G:G,Fonte_Dati!D:D,C30,Fonte_Dati!C:C,"Marzo"),0)</f>
        <v>0</v>
      </c>
      <c r="M30" s="27" t="n">
        <f aca="false">IFERROR(SUMIFS(Fonte_Dati!H:H,Fonte_Dati!D:D,C30,Fonte_Dati!C:C,"Marzo"),0)</f>
        <v>0</v>
      </c>
      <c r="N30" s="43" t="n">
        <f aca="false">IFERROR(SUMIFS(Fonte_Dati!I:I,Fonte_Dati!D:D,C30,Fonte_Dati!C:C,"Marzo"),0)</f>
        <v>0</v>
      </c>
      <c r="O30" s="27" t="n">
        <f aca="false">IFERROR(N30/K30,0)</f>
        <v>0</v>
      </c>
      <c r="P30" s="92"/>
    </row>
    <row r="31" customFormat="false" ht="16.5" hidden="false" customHeight="true" outlineLevel="0" collapsed="false">
      <c r="A31" s="92"/>
      <c r="B31" s="38" t="n">
        <v>9</v>
      </c>
      <c r="C31" s="22" t="s">
        <v>328</v>
      </c>
      <c r="D31" s="75" t="s">
        <v>320</v>
      </c>
      <c r="E31" s="93" t="str">
        <f aca="false">IFERROR(VLOOKUP(C31,DB_Impianti!C:E,3,0),"")</f>
        <v>AXPO</v>
      </c>
      <c r="F31" s="93" t="str">
        <f aca="false">IFERROR(VLOOKUP(C31,DB_Impianti!C:F,4,0),"")</f>
        <v>Biopower 2 Srl</v>
      </c>
      <c r="G31" s="21" t="n">
        <f aca="false">IFERROR(VLOOKUP(C31,DB_Impianti!C:G,5,0),"")</f>
        <v>0</v>
      </c>
      <c r="H31" s="24" t="n">
        <f aca="false">IFERROR(VLOOKUP(C31,DB_Impianti!C:H,6,0),0)</f>
        <v>-0.2</v>
      </c>
      <c r="I31" s="94" t="s">
        <v>465</v>
      </c>
      <c r="J31" s="23" t="n">
        <f aca="false">IFERROR(SUMIFS(Fonte_Dati!E:E,Fonte_Dati!D:D,C31,Fonte_Dati!C:C,"Gennaio")/1000,0)</f>
        <v>209.75475</v>
      </c>
      <c r="K31" s="23" t="n">
        <f aca="false">IFERROR(SUMIFS(Fonte_Dati!F:F,Fonte_Dati!D:D,C31,Fonte_Dati!C:C,"Gennaio")/1000,0)</f>
        <v>214.57910925</v>
      </c>
      <c r="L31" s="24" t="n">
        <f aca="false">IFERROR(SUMIFS(Fonte_Dati!G:G,Fonte_Dati!D:D,C31,Fonte_Dati!C:C,"Gennaio"),0)</f>
        <v>25631.1276104785</v>
      </c>
      <c r="M31" s="24" t="n">
        <f aca="false">IFERROR(SUMIFS(Fonte_Dati!H:H,Fonte_Dati!D:D,C31,Fonte_Dati!C:C,"Gennaio"),0)</f>
        <v>-42.91582185</v>
      </c>
      <c r="N31" s="40" t="n">
        <f aca="false">IFERROR(SUMIFS(Fonte_Dati!I:I,Fonte_Dati!D:D,C31,Fonte_Dati!C:C,"Gennaio"),0)</f>
        <v>25588.2117886285</v>
      </c>
      <c r="O31" s="24" t="n">
        <f aca="false">IFERROR(N31/K31,0)</f>
        <v>119.248382930029</v>
      </c>
      <c r="P31" s="92"/>
    </row>
    <row r="32" customFormat="false" ht="16.5" hidden="false" customHeight="true" outlineLevel="0" collapsed="false">
      <c r="A32" s="92"/>
      <c r="B32" s="38" t="n">
        <v>9</v>
      </c>
      <c r="C32" s="22" t="s">
        <v>328</v>
      </c>
      <c r="D32" s="75" t="s">
        <v>320</v>
      </c>
      <c r="E32" s="93" t="str">
        <f aca="false">IFERROR(VLOOKUP(C32,DB_Impianti!C:E,3,0),"")</f>
        <v>AXPO</v>
      </c>
      <c r="F32" s="93" t="str">
        <f aca="false">IFERROR(VLOOKUP(C32,DB_Impianti!C:F,4,0),"")</f>
        <v>Biopower 2 Srl</v>
      </c>
      <c r="G32" s="21" t="n">
        <f aca="false">IFERROR(VLOOKUP(C32,DB_Impianti!C:G,5,0),"")</f>
        <v>0</v>
      </c>
      <c r="H32" s="24" t="n">
        <f aca="false">IFERROR(VLOOKUP(C32,DB_Impianti!C:H,6,0),0)</f>
        <v>-0.2</v>
      </c>
      <c r="I32" s="95" t="s">
        <v>466</v>
      </c>
      <c r="J32" s="23" t="n">
        <f aca="false">IFERROR(SUMIFS(Fonte_Dati!E:E,Fonte_Dati!D:D,C32,Fonte_Dati!C:C,"Febbraio")/1000,0)</f>
        <v>311.66175</v>
      </c>
      <c r="K32" s="23" t="n">
        <f aca="false">IFERROR(SUMIFS(Fonte_Dati!F:F,Fonte_Dati!D:D,C32,Fonte_Dati!C:C,"Febbraio")/1000,0)</f>
        <v>318.82997025</v>
      </c>
      <c r="L32" s="24" t="n">
        <f aca="false">IFERROR(SUMIFS(Fonte_Dati!G:G,Fonte_Dati!D:D,C32,Fonte_Dati!C:C,"Febbraio"),0)</f>
        <v>25227.6594578779</v>
      </c>
      <c r="M32" s="24" t="n">
        <f aca="false">IFERROR(SUMIFS(Fonte_Dati!H:H,Fonte_Dati!D:D,C32,Fonte_Dati!C:C,"Febbraio"),0)</f>
        <v>-63.76599405</v>
      </c>
      <c r="N32" s="40" t="n">
        <f aca="false">IFERROR(SUMIFS(Fonte_Dati!I:I,Fonte_Dati!D:D,C32,Fonte_Dati!C:C,"Febbraio"),0)</f>
        <v>25163.8934638279</v>
      </c>
      <c r="O32" s="24" t="n">
        <f aca="false">IFERROR(N32/K32,0)</f>
        <v>78.9257466733647</v>
      </c>
      <c r="P32" s="92"/>
    </row>
    <row r="33" customFormat="false" ht="16.5" hidden="false" customHeight="true" outlineLevel="0" collapsed="false">
      <c r="A33" s="92"/>
      <c r="B33" s="38" t="n">
        <v>9</v>
      </c>
      <c r="C33" s="22" t="s">
        <v>328</v>
      </c>
      <c r="D33" s="75" t="s">
        <v>320</v>
      </c>
      <c r="E33" s="93" t="str">
        <f aca="false">IFERROR(VLOOKUP(C33,DB_Impianti!C:E,3,0),"")</f>
        <v>AXPO</v>
      </c>
      <c r="F33" s="93" t="str">
        <f aca="false">IFERROR(VLOOKUP(C33,DB_Impianti!C:F,4,0),"")</f>
        <v>Biopower 2 Srl</v>
      </c>
      <c r="G33" s="21" t="n">
        <f aca="false">IFERROR(VLOOKUP(C33,DB_Impianti!C:G,5,0),"")</f>
        <v>0</v>
      </c>
      <c r="H33" s="24" t="n">
        <f aca="false">IFERROR(VLOOKUP(C33,DB_Impianti!C:H,6,0),0)</f>
        <v>-0.2</v>
      </c>
      <c r="I33" s="96" t="s">
        <v>467</v>
      </c>
      <c r="J33" s="23" t="n">
        <f aca="false">IFERROR(SUMIFS(Fonte_Dati!E:E,Fonte_Dati!D:D,C33,Fonte_Dati!C:C,"Marzo")/1000,0)</f>
        <v>0</v>
      </c>
      <c r="K33" s="23" t="n">
        <f aca="false">IFERROR(SUMIFS(Fonte_Dati!F:F,Fonte_Dati!D:D,C33,Fonte_Dati!C:C,"Marzo")/1000,0)</f>
        <v>0</v>
      </c>
      <c r="L33" s="24" t="n">
        <f aca="false">IFERROR(SUMIFS(Fonte_Dati!G:G,Fonte_Dati!D:D,C33,Fonte_Dati!C:C,"Marzo"),0)</f>
        <v>0</v>
      </c>
      <c r="M33" s="24" t="n">
        <f aca="false">IFERROR(SUMIFS(Fonte_Dati!H:H,Fonte_Dati!D:D,C33,Fonte_Dati!C:C,"Marzo"),0)</f>
        <v>0</v>
      </c>
      <c r="N33" s="40" t="n">
        <f aca="false">IFERROR(SUMIFS(Fonte_Dati!I:I,Fonte_Dati!D:D,C33,Fonte_Dati!C:C,"Marzo"),0)</f>
        <v>0</v>
      </c>
      <c r="O33" s="24" t="n">
        <f aca="false">IFERROR(N33/K33,0)</f>
        <v>0</v>
      </c>
      <c r="P33" s="92"/>
    </row>
    <row r="34" customFormat="false" ht="16.5" hidden="false" customHeight="true" outlineLevel="0" collapsed="false">
      <c r="A34" s="92"/>
      <c r="B34" s="38" t="n">
        <v>10</v>
      </c>
      <c r="C34" s="22" t="s">
        <v>329</v>
      </c>
      <c r="D34" s="75" t="s">
        <v>320</v>
      </c>
      <c r="E34" s="97" t="str">
        <f aca="false">IFERROR(VLOOKUP(C34,DB_Impianti!C:E,3,0),"")</f>
        <v>DXT</v>
      </c>
      <c r="F34" s="97" t="str">
        <f aca="false">IFERROR(VLOOKUP(C34,DB_Impianti!C:F,4,0),"")</f>
        <v>Società Agricola Solar Farm 5 Srl</v>
      </c>
      <c r="G34" s="25" t="str">
        <f aca="false">IFERROR(VLOOKUP(C34,DB_Impianti!C:G,5,0),"")</f>
        <v>PVI_0384558_001</v>
      </c>
      <c r="H34" s="27" t="n">
        <f aca="false">IFERROR(VLOOKUP(C34,DB_Impianti!C:H,6,0),0)</f>
        <v>-0.2</v>
      </c>
      <c r="I34" s="94" t="s">
        <v>465</v>
      </c>
      <c r="J34" s="26" t="n">
        <f aca="false">IFERROR(SUMIFS(Fonte_Dati!E:E,Fonte_Dati!D:D,C34,Fonte_Dati!C:C,"Gennaio")/1000,0)</f>
        <v>199.294559999995</v>
      </c>
      <c r="K34" s="26" t="n">
        <f aca="false">IFERROR(SUMIFS(Fonte_Dati!F:F,Fonte_Dati!D:D,C34,Fonte_Dati!C:C,"Gennaio")/1000,0)</f>
        <v>203.878334879994</v>
      </c>
      <c r="L34" s="27" t="n">
        <f aca="false">IFERROR(SUMIFS(Fonte_Dati!G:G,Fonte_Dati!D:D,C34,Fonte_Dati!C:C,"Gennaio"),0)</f>
        <v>24021.4240388268</v>
      </c>
      <c r="M34" s="27" t="n">
        <f aca="false">IFERROR(SUMIFS(Fonte_Dati!H:H,Fonte_Dati!D:D,C34,Fonte_Dati!C:C,"Gennaio"),0)</f>
        <v>-40.7756669759989</v>
      </c>
      <c r="N34" s="43" t="n">
        <f aca="false">IFERROR(SUMIFS(Fonte_Dati!I:I,Fonte_Dati!D:D,C34,Fonte_Dati!C:C,"Gennaio"),0)</f>
        <v>23980.6483718508</v>
      </c>
      <c r="O34" s="27" t="n">
        <f aca="false">IFERROR(N34/K34,0)</f>
        <v>117.622347592579</v>
      </c>
      <c r="P34" s="92"/>
    </row>
    <row r="35" customFormat="false" ht="16.5" hidden="false" customHeight="true" outlineLevel="0" collapsed="false">
      <c r="A35" s="92"/>
      <c r="B35" s="38" t="n">
        <v>10</v>
      </c>
      <c r="C35" s="22" t="s">
        <v>329</v>
      </c>
      <c r="D35" s="75" t="s">
        <v>320</v>
      </c>
      <c r="E35" s="97" t="str">
        <f aca="false">IFERROR(VLOOKUP(C35,DB_Impianti!C:E,3,0),"")</f>
        <v>DXT</v>
      </c>
      <c r="F35" s="97" t="str">
        <f aca="false">IFERROR(VLOOKUP(C35,DB_Impianti!C:F,4,0),"")</f>
        <v>Società Agricola Solar Farm 5 Srl</v>
      </c>
      <c r="G35" s="25" t="str">
        <f aca="false">IFERROR(VLOOKUP(C35,DB_Impianti!C:G,5,0),"")</f>
        <v>PVI_0384558_001</v>
      </c>
      <c r="H35" s="27" t="n">
        <f aca="false">IFERROR(VLOOKUP(C35,DB_Impianti!C:H,6,0),0)</f>
        <v>-0.2</v>
      </c>
      <c r="I35" s="95" t="s">
        <v>466</v>
      </c>
      <c r="J35" s="26" t="n">
        <f aca="false">IFERROR(SUMIFS(Fonte_Dati!E:E,Fonte_Dati!D:D,C35,Fonte_Dati!C:C,"Febbraio")/1000,0)</f>
        <v>277.671520000004</v>
      </c>
      <c r="K35" s="26" t="n">
        <f aca="false">IFERROR(SUMIFS(Fonte_Dati!F:F,Fonte_Dati!D:D,C35,Fonte_Dati!C:C,"Febbraio")/1000,0)</f>
        <v>284.057964960003</v>
      </c>
      <c r="L35" s="27" t="n">
        <f aca="false">IFERROR(SUMIFS(Fonte_Dati!G:G,Fonte_Dati!D:D,C35,Fonte_Dati!C:C,"Febbraio"),0)</f>
        <v>22556.3686687779</v>
      </c>
      <c r="M35" s="27" t="n">
        <f aca="false">IFERROR(SUMIFS(Fonte_Dati!H:H,Fonte_Dati!D:D,C35,Fonte_Dati!C:C,"Febbraio"),0)</f>
        <v>-56.8115929920007</v>
      </c>
      <c r="N35" s="43" t="n">
        <f aca="false">IFERROR(SUMIFS(Fonte_Dati!I:I,Fonte_Dati!D:D,C35,Fonte_Dati!C:C,"Febbraio"),0)</f>
        <v>22499.5570757859</v>
      </c>
      <c r="O35" s="27" t="n">
        <f aca="false">IFERROR(N35/K35,0)</f>
        <v>79.2076260877035</v>
      </c>
      <c r="P35" s="92"/>
    </row>
    <row r="36" customFormat="false" ht="16.5" hidden="false" customHeight="true" outlineLevel="0" collapsed="false">
      <c r="A36" s="92"/>
      <c r="B36" s="38" t="n">
        <v>10</v>
      </c>
      <c r="C36" s="22" t="s">
        <v>329</v>
      </c>
      <c r="D36" s="75" t="s">
        <v>320</v>
      </c>
      <c r="E36" s="97" t="str">
        <f aca="false">IFERROR(VLOOKUP(C36,DB_Impianti!C:E,3,0),"")</f>
        <v>DXT</v>
      </c>
      <c r="F36" s="97" t="str">
        <f aca="false">IFERROR(VLOOKUP(C36,DB_Impianti!C:F,4,0),"")</f>
        <v>Società Agricola Solar Farm 5 Srl</v>
      </c>
      <c r="G36" s="25" t="str">
        <f aca="false">IFERROR(VLOOKUP(C36,DB_Impianti!C:G,5,0),"")</f>
        <v>PVI_0384558_001</v>
      </c>
      <c r="H36" s="27" t="n">
        <f aca="false">IFERROR(VLOOKUP(C36,DB_Impianti!C:H,6,0),0)</f>
        <v>-0.2</v>
      </c>
      <c r="I36" s="96" t="s">
        <v>467</v>
      </c>
      <c r="J36" s="26" t="n">
        <f aca="false">IFERROR(SUMIFS(Fonte_Dati!E:E,Fonte_Dati!D:D,C36,Fonte_Dati!C:C,"Marzo")/1000,0)</f>
        <v>0</v>
      </c>
      <c r="K36" s="26" t="n">
        <f aca="false">IFERROR(SUMIFS(Fonte_Dati!F:F,Fonte_Dati!D:D,C36,Fonte_Dati!C:C,"Marzo")/1000,0)</f>
        <v>0</v>
      </c>
      <c r="L36" s="27" t="n">
        <f aca="false">IFERROR(SUMIFS(Fonte_Dati!G:G,Fonte_Dati!D:D,C36,Fonte_Dati!C:C,"Marzo"),0)</f>
        <v>0</v>
      </c>
      <c r="M36" s="27" t="n">
        <f aca="false">IFERROR(SUMIFS(Fonte_Dati!H:H,Fonte_Dati!D:D,C36,Fonte_Dati!C:C,"Marzo"),0)</f>
        <v>0</v>
      </c>
      <c r="N36" s="43" t="n">
        <f aca="false">IFERROR(SUMIFS(Fonte_Dati!I:I,Fonte_Dati!D:D,C36,Fonte_Dati!C:C,"Marzo"),0)</f>
        <v>0</v>
      </c>
      <c r="O36" s="27" t="n">
        <f aca="false">IFERROR(N36/K36,0)</f>
        <v>0</v>
      </c>
      <c r="P36" s="92"/>
    </row>
    <row r="37" customFormat="false" ht="16.5" hidden="false" customHeight="true" outlineLevel="0" collapsed="false">
      <c r="A37" s="92"/>
      <c r="B37" s="38" t="n">
        <v>11</v>
      </c>
      <c r="C37" s="22" t="s">
        <v>324</v>
      </c>
      <c r="D37" s="75" t="s">
        <v>320</v>
      </c>
      <c r="E37" s="93" t="str">
        <f aca="false">IFERROR(VLOOKUP(C37,DB_Impianti!C:E,3,0),"")</f>
        <v>AXPO</v>
      </c>
      <c r="F37" s="93" t="str">
        <f aca="false">IFERROR(VLOOKUP(C37,DB_Impianti!C:F,4,0),"")</f>
        <v>ERM Srl</v>
      </c>
      <c r="G37" s="21" t="n">
        <f aca="false">IFERROR(VLOOKUP(C37,DB_Impianti!C:G,5,0),"")</f>
        <v>0</v>
      </c>
      <c r="H37" s="24" t="n">
        <f aca="false">IFERROR(VLOOKUP(C37,DB_Impianti!C:H,6,0),0)</f>
        <v>-0.2</v>
      </c>
      <c r="I37" s="94" t="s">
        <v>465</v>
      </c>
      <c r="J37" s="23" t="n">
        <f aca="false">IFERROR(SUMIFS(Fonte_Dati!E:E,Fonte_Dati!D:D,C37,Fonte_Dati!C:C,"Gennaio")/1000,0)</f>
        <v>111.376125</v>
      </c>
      <c r="K37" s="23" t="n">
        <f aca="false">IFERROR(SUMIFS(Fonte_Dati!F:F,Fonte_Dati!D:D,C37,Fonte_Dati!C:C,"Gennaio")/1000,0)</f>
        <v>110.9306205</v>
      </c>
      <c r="L37" s="24" t="n">
        <f aca="false">IFERROR(SUMIFS(Fonte_Dati!G:G,Fonte_Dati!D:D,C37,Fonte_Dati!C:C,"Gennaio"),0)</f>
        <v>12280.380456909</v>
      </c>
      <c r="M37" s="24" t="n">
        <f aca="false">IFERROR(SUMIFS(Fonte_Dati!H:H,Fonte_Dati!D:D,C37,Fonte_Dati!C:C,"Gennaio"),0)</f>
        <v>-22.1861241</v>
      </c>
      <c r="N37" s="40" t="n">
        <f aca="false">IFERROR(SUMIFS(Fonte_Dati!I:I,Fonte_Dati!D:D,C37,Fonte_Dati!C:C,"Gennaio"),0)</f>
        <v>12258.1943328091</v>
      </c>
      <c r="O37" s="24" t="n">
        <f aca="false">IFERROR(N37/K37,0)</f>
        <v>110.503252190941</v>
      </c>
      <c r="P37" s="92"/>
    </row>
    <row r="38" customFormat="false" ht="16.5" hidden="false" customHeight="true" outlineLevel="0" collapsed="false">
      <c r="A38" s="92"/>
      <c r="B38" s="38" t="n">
        <v>11</v>
      </c>
      <c r="C38" s="22" t="s">
        <v>324</v>
      </c>
      <c r="D38" s="75" t="s">
        <v>320</v>
      </c>
      <c r="E38" s="93" t="str">
        <f aca="false">IFERROR(VLOOKUP(C38,DB_Impianti!C:E,3,0),"")</f>
        <v>AXPO</v>
      </c>
      <c r="F38" s="93" t="str">
        <f aca="false">IFERROR(VLOOKUP(C38,DB_Impianti!C:F,4,0),"")</f>
        <v>ERM Srl</v>
      </c>
      <c r="G38" s="21" t="n">
        <f aca="false">IFERROR(VLOOKUP(C38,DB_Impianti!C:G,5,0),"")</f>
        <v>0</v>
      </c>
      <c r="H38" s="24" t="n">
        <f aca="false">IFERROR(VLOOKUP(C38,DB_Impianti!C:H,6,0),0)</f>
        <v>-0.2</v>
      </c>
      <c r="I38" s="95" t="s">
        <v>466</v>
      </c>
      <c r="J38" s="23" t="n">
        <f aca="false">IFERROR(SUMIFS(Fonte_Dati!E:E,Fonte_Dati!D:D,C38,Fonte_Dati!C:C,"Febbraio")/1000,0)</f>
        <v>214.7997</v>
      </c>
      <c r="K38" s="23" t="n">
        <f aca="false">IFERROR(SUMIFS(Fonte_Dati!F:F,Fonte_Dati!D:D,C38,Fonte_Dati!C:C,"Febbraio")/1000,0)</f>
        <v>213.9405012</v>
      </c>
      <c r="L38" s="24" t="n">
        <f aca="false">IFERROR(SUMIFS(Fonte_Dati!G:G,Fonte_Dati!D:D,C38,Fonte_Dati!C:C,"Febbraio"),0)</f>
        <v>17453.8962123313</v>
      </c>
      <c r="M38" s="24" t="n">
        <f aca="false">IFERROR(SUMIFS(Fonte_Dati!H:H,Fonte_Dati!D:D,C38,Fonte_Dati!C:C,"Febbraio"),0)</f>
        <v>-42.78810024</v>
      </c>
      <c r="N38" s="40" t="n">
        <f aca="false">IFERROR(SUMIFS(Fonte_Dati!I:I,Fonte_Dati!D:D,C38,Fonte_Dati!C:C,"Febbraio"),0)</f>
        <v>17411.1081120913</v>
      </c>
      <c r="O38" s="24" t="n">
        <f aca="false">IFERROR(N38/K38,0)</f>
        <v>81.3829453256011</v>
      </c>
      <c r="P38" s="92"/>
    </row>
    <row r="39" customFormat="false" ht="16.5" hidden="false" customHeight="true" outlineLevel="0" collapsed="false">
      <c r="A39" s="92"/>
      <c r="B39" s="38" t="n">
        <v>11</v>
      </c>
      <c r="C39" s="22" t="s">
        <v>324</v>
      </c>
      <c r="D39" s="75" t="s">
        <v>320</v>
      </c>
      <c r="E39" s="93" t="str">
        <f aca="false">IFERROR(VLOOKUP(C39,DB_Impianti!C:E,3,0),"")</f>
        <v>AXPO</v>
      </c>
      <c r="F39" s="93" t="str">
        <f aca="false">IFERROR(VLOOKUP(C39,DB_Impianti!C:F,4,0),"")</f>
        <v>ERM Srl</v>
      </c>
      <c r="G39" s="21" t="n">
        <f aca="false">IFERROR(VLOOKUP(C39,DB_Impianti!C:G,5,0),"")</f>
        <v>0</v>
      </c>
      <c r="H39" s="24" t="n">
        <f aca="false">IFERROR(VLOOKUP(C39,DB_Impianti!C:H,6,0),0)</f>
        <v>-0.2</v>
      </c>
      <c r="I39" s="96" t="s">
        <v>467</v>
      </c>
      <c r="J39" s="23" t="n">
        <f aca="false">IFERROR(SUMIFS(Fonte_Dati!E:E,Fonte_Dati!D:D,C39,Fonte_Dati!C:C,"Marzo")/1000,0)</f>
        <v>0</v>
      </c>
      <c r="K39" s="23" t="n">
        <f aca="false">IFERROR(SUMIFS(Fonte_Dati!F:F,Fonte_Dati!D:D,C39,Fonte_Dati!C:C,"Marzo")/1000,0)</f>
        <v>0</v>
      </c>
      <c r="L39" s="24" t="n">
        <f aca="false">IFERROR(SUMIFS(Fonte_Dati!G:G,Fonte_Dati!D:D,C39,Fonte_Dati!C:C,"Marzo"),0)</f>
        <v>0</v>
      </c>
      <c r="M39" s="24" t="n">
        <f aca="false">IFERROR(SUMIFS(Fonte_Dati!H:H,Fonte_Dati!D:D,C39,Fonte_Dati!C:C,"Marzo"),0)</f>
        <v>0</v>
      </c>
      <c r="N39" s="40" t="n">
        <f aca="false">IFERROR(SUMIFS(Fonte_Dati!I:I,Fonte_Dati!D:D,C39,Fonte_Dati!C:C,"Marzo"),0)</f>
        <v>0</v>
      </c>
      <c r="O39" s="24" t="n">
        <f aca="false">IFERROR(N39/K39,0)</f>
        <v>0</v>
      </c>
      <c r="P39" s="92"/>
    </row>
    <row r="40" customFormat="false" ht="16.5" hidden="false" customHeight="true" outlineLevel="0" collapsed="false">
      <c r="A40" s="92"/>
      <c r="B40" s="38" t="n">
        <v>12</v>
      </c>
      <c r="C40" s="22" t="s">
        <v>325</v>
      </c>
      <c r="D40" s="75" t="s">
        <v>320</v>
      </c>
      <c r="E40" s="97" t="str">
        <f aca="false">IFERROR(VLOOKUP(C40,DB_Impianti!C:E,3,0),"")</f>
        <v>DXT</v>
      </c>
      <c r="F40" s="97" t="str">
        <f aca="false">IFERROR(VLOOKUP(C40,DB_Impianti!C:F,4,0),"")</f>
        <v>Moncada Energy Solar Srl</v>
      </c>
      <c r="G40" s="25" t="str">
        <f aca="false">IFERROR(VLOOKUP(C40,DB_Impianti!C:G,5,0),"")</f>
        <v>PVI_0397946_001</v>
      </c>
      <c r="H40" s="27" t="n">
        <f aca="false">IFERROR(VLOOKUP(C40,DB_Impianti!C:H,6,0),0)</f>
        <v>-0.2</v>
      </c>
      <c r="I40" s="94" t="s">
        <v>465</v>
      </c>
      <c r="J40" s="26" t="n">
        <f aca="false">IFERROR(SUMIFS(Fonte_Dati!E:E,Fonte_Dati!D:D,C40,Fonte_Dati!C:C,"Gennaio")/1000,0)</f>
        <v>112.069200000002</v>
      </c>
      <c r="K40" s="26" t="n">
        <f aca="false">IFERROR(SUMIFS(Fonte_Dati!F:F,Fonte_Dati!D:D,C40,Fonte_Dati!C:C,"Gennaio")/1000,0)</f>
        <v>111.620923200002</v>
      </c>
      <c r="L40" s="27" t="n">
        <f aca="false">IFERROR(SUMIFS(Fonte_Dati!G:G,Fonte_Dati!D:D,C40,Fonte_Dati!C:C,"Gennaio"),0)</f>
        <v>12199.6592156119</v>
      </c>
      <c r="M40" s="27" t="n">
        <f aca="false">IFERROR(SUMIFS(Fonte_Dati!H:H,Fonte_Dati!D:D,C40,Fonte_Dati!C:C,"Gennaio"),0)</f>
        <v>-22.3241846400004</v>
      </c>
      <c r="N40" s="43" t="n">
        <f aca="false">IFERROR(SUMIFS(Fonte_Dati!I:I,Fonte_Dati!D:D,C40,Fonte_Dati!C:C,"Gennaio"),0)</f>
        <v>12177.3350309719</v>
      </c>
      <c r="O40" s="27" t="n">
        <f aca="false">IFERROR(N40/K40,0)</f>
        <v>109.095451657863</v>
      </c>
      <c r="P40" s="92"/>
    </row>
    <row r="41" customFormat="false" ht="16.5" hidden="false" customHeight="true" outlineLevel="0" collapsed="false">
      <c r="A41" s="92"/>
      <c r="B41" s="38" t="n">
        <v>12</v>
      </c>
      <c r="C41" s="22" t="s">
        <v>325</v>
      </c>
      <c r="D41" s="75" t="s">
        <v>320</v>
      </c>
      <c r="E41" s="97" t="str">
        <f aca="false">IFERROR(VLOOKUP(C41,DB_Impianti!C:E,3,0),"")</f>
        <v>DXT</v>
      </c>
      <c r="F41" s="97" t="str">
        <f aca="false">IFERROR(VLOOKUP(C41,DB_Impianti!C:F,4,0),"")</f>
        <v>Moncada Energy Solar Srl</v>
      </c>
      <c r="G41" s="25" t="str">
        <f aca="false">IFERROR(VLOOKUP(C41,DB_Impianti!C:G,5,0),"")</f>
        <v>PVI_0397946_001</v>
      </c>
      <c r="H41" s="27" t="n">
        <f aca="false">IFERROR(VLOOKUP(C41,DB_Impianti!C:H,6,0),0)</f>
        <v>-0.2</v>
      </c>
      <c r="I41" s="95" t="s">
        <v>466</v>
      </c>
      <c r="J41" s="26" t="n">
        <f aca="false">IFERROR(SUMIFS(Fonte_Dati!E:E,Fonte_Dati!D:D,C41,Fonte_Dati!C:C,"Febbraio")/1000,0)</f>
        <v>208.407840000004</v>
      </c>
      <c r="K41" s="26" t="n">
        <f aca="false">IFERROR(SUMIFS(Fonte_Dati!F:F,Fonte_Dati!D:D,C41,Fonte_Dati!C:C,"Febbraio")/1000,0)</f>
        <v>207.574208640004</v>
      </c>
      <c r="L41" s="27" t="n">
        <f aca="false">IFERROR(SUMIFS(Fonte_Dati!G:G,Fonte_Dati!D:D,C41,Fonte_Dati!C:C,"Febbraio"),0)</f>
        <v>16847.598772065</v>
      </c>
      <c r="M41" s="27" t="n">
        <f aca="false">IFERROR(SUMIFS(Fonte_Dati!H:H,Fonte_Dati!D:D,C41,Fonte_Dati!C:C,"Febbraio"),0)</f>
        <v>-41.5148417280007</v>
      </c>
      <c r="N41" s="43" t="n">
        <f aca="false">IFERROR(SUMIFS(Fonte_Dati!I:I,Fonte_Dati!D:D,C41,Fonte_Dati!C:C,"Febbraio"),0)</f>
        <v>16806.0839303371</v>
      </c>
      <c r="O41" s="27" t="n">
        <f aca="false">IFERROR(N41/K41,0)</f>
        <v>80.9642201718996</v>
      </c>
      <c r="P41" s="92"/>
    </row>
    <row r="42" customFormat="false" ht="16.5" hidden="false" customHeight="true" outlineLevel="0" collapsed="false">
      <c r="A42" s="92"/>
      <c r="B42" s="38" t="n">
        <v>12</v>
      </c>
      <c r="C42" s="22" t="s">
        <v>325</v>
      </c>
      <c r="D42" s="75" t="s">
        <v>320</v>
      </c>
      <c r="E42" s="97" t="str">
        <f aca="false">IFERROR(VLOOKUP(C42,DB_Impianti!C:E,3,0),"")</f>
        <v>DXT</v>
      </c>
      <c r="F42" s="97" t="str">
        <f aca="false">IFERROR(VLOOKUP(C42,DB_Impianti!C:F,4,0),"")</f>
        <v>Moncada Energy Solar Srl</v>
      </c>
      <c r="G42" s="25" t="str">
        <f aca="false">IFERROR(VLOOKUP(C42,DB_Impianti!C:G,5,0),"")</f>
        <v>PVI_0397946_001</v>
      </c>
      <c r="H42" s="27" t="n">
        <f aca="false">IFERROR(VLOOKUP(C42,DB_Impianti!C:H,6,0),0)</f>
        <v>-0.2</v>
      </c>
      <c r="I42" s="96" t="s">
        <v>467</v>
      </c>
      <c r="J42" s="26" t="n">
        <f aca="false">IFERROR(SUMIFS(Fonte_Dati!E:E,Fonte_Dati!D:D,C42,Fonte_Dati!C:C,"Marzo")/1000,0)</f>
        <v>0</v>
      </c>
      <c r="K42" s="26" t="n">
        <f aca="false">IFERROR(SUMIFS(Fonte_Dati!F:F,Fonte_Dati!D:D,C42,Fonte_Dati!C:C,"Marzo")/1000,0)</f>
        <v>0</v>
      </c>
      <c r="L42" s="27" t="n">
        <f aca="false">IFERROR(SUMIFS(Fonte_Dati!G:G,Fonte_Dati!D:D,C42,Fonte_Dati!C:C,"Marzo"),0)</f>
        <v>0</v>
      </c>
      <c r="M42" s="27" t="n">
        <f aca="false">IFERROR(SUMIFS(Fonte_Dati!H:H,Fonte_Dati!D:D,C42,Fonte_Dati!C:C,"Marzo"),0)</f>
        <v>0</v>
      </c>
      <c r="N42" s="43" t="n">
        <f aca="false">IFERROR(SUMIFS(Fonte_Dati!I:I,Fonte_Dati!D:D,C42,Fonte_Dati!C:C,"Marzo"),0)</f>
        <v>0</v>
      </c>
      <c r="O42" s="27" t="n">
        <f aca="false">IFERROR(N42/K42,0)</f>
        <v>0</v>
      </c>
      <c r="P42" s="92"/>
    </row>
    <row r="43" customFormat="false" ht="16.5" hidden="false" customHeight="true" outlineLevel="0" collapsed="false">
      <c r="A43" s="92"/>
      <c r="B43" s="38" t="n">
        <v>13</v>
      </c>
      <c r="C43" s="22" t="s">
        <v>327</v>
      </c>
      <c r="D43" s="75" t="s">
        <v>320</v>
      </c>
      <c r="E43" s="93" t="str">
        <f aca="false">IFERROR(VLOOKUP(C43,DB_Impianti!C:E,3,0),"")</f>
        <v>DXT</v>
      </c>
      <c r="F43" s="93" t="str">
        <f aca="false">IFERROR(VLOOKUP(C43,DB_Impianti!C:F,4,0),"")</f>
        <v>Moncada Energy Solar Srl</v>
      </c>
      <c r="G43" s="21" t="str">
        <f aca="false">IFERROR(VLOOKUP(C43,DB_Impianti!C:G,5,0),"")</f>
        <v>PVI_0397937_001</v>
      </c>
      <c r="H43" s="24" t="n">
        <f aca="false">IFERROR(VLOOKUP(C43,DB_Impianti!C:H,6,0),0)</f>
        <v>-0.2</v>
      </c>
      <c r="I43" s="94" t="s">
        <v>465</v>
      </c>
      <c r="J43" s="23" t="n">
        <f aca="false">IFERROR(SUMIFS(Fonte_Dati!E:E,Fonte_Dati!D:D,C43,Fonte_Dati!C:C,"Gennaio")/1000,0)</f>
        <v>76.1901599999965</v>
      </c>
      <c r="K43" s="23" t="n">
        <f aca="false">IFERROR(SUMIFS(Fonte_Dati!F:F,Fonte_Dati!D:D,C43,Fonte_Dati!C:C,"Gennaio")/1000,0)</f>
        <v>75.8853993599965</v>
      </c>
      <c r="L43" s="24" t="n">
        <f aca="false">IFERROR(SUMIFS(Fonte_Dati!G:G,Fonte_Dati!D:D,C43,Fonte_Dati!C:C,"Gennaio"),0)</f>
        <v>8742.47177838569</v>
      </c>
      <c r="M43" s="24" t="n">
        <f aca="false">IFERROR(SUMIFS(Fonte_Dati!H:H,Fonte_Dati!D:D,C43,Fonte_Dati!C:C,"Gennaio"),0)</f>
        <v>-15.1770798719993</v>
      </c>
      <c r="N43" s="40" t="n">
        <f aca="false">IFERROR(SUMIFS(Fonte_Dati!I:I,Fonte_Dati!D:D,C43,Fonte_Dati!C:C,"Gennaio"),0)</f>
        <v>8727.29469851368</v>
      </c>
      <c r="O43" s="24" t="n">
        <f aca="false">IFERROR(N43/K43,0)</f>
        <v>115.006243257835</v>
      </c>
      <c r="P43" s="92"/>
    </row>
    <row r="44" customFormat="false" ht="16.5" hidden="false" customHeight="true" outlineLevel="0" collapsed="false">
      <c r="A44" s="92"/>
      <c r="B44" s="38" t="n">
        <v>13</v>
      </c>
      <c r="C44" s="22" t="s">
        <v>327</v>
      </c>
      <c r="D44" s="75" t="s">
        <v>320</v>
      </c>
      <c r="E44" s="93" t="str">
        <f aca="false">IFERROR(VLOOKUP(C44,DB_Impianti!C:E,3,0),"")</f>
        <v>DXT</v>
      </c>
      <c r="F44" s="93" t="str">
        <f aca="false">IFERROR(VLOOKUP(C44,DB_Impianti!C:F,4,0),"")</f>
        <v>Moncada Energy Solar Srl</v>
      </c>
      <c r="G44" s="21" t="str">
        <f aca="false">IFERROR(VLOOKUP(C44,DB_Impianti!C:G,5,0),"")</f>
        <v>PVI_0397937_001</v>
      </c>
      <c r="H44" s="24" t="n">
        <f aca="false">IFERROR(VLOOKUP(C44,DB_Impianti!C:H,6,0),0)</f>
        <v>-0.2</v>
      </c>
      <c r="I44" s="95" t="s">
        <v>466</v>
      </c>
      <c r="J44" s="23" t="n">
        <f aca="false">IFERROR(SUMIFS(Fonte_Dati!E:E,Fonte_Dati!D:D,C44,Fonte_Dati!C:C,"Febbraio")/1000,0)</f>
        <v>0</v>
      </c>
      <c r="K44" s="23" t="n">
        <f aca="false">IFERROR(SUMIFS(Fonte_Dati!F:F,Fonte_Dati!D:D,C44,Fonte_Dati!C:C,"Febbraio")/1000,0)</f>
        <v>0</v>
      </c>
      <c r="L44" s="24" t="n">
        <f aca="false">IFERROR(SUMIFS(Fonte_Dati!G:G,Fonte_Dati!D:D,C44,Fonte_Dati!C:C,"Febbraio"),0)</f>
        <v>0</v>
      </c>
      <c r="M44" s="24" t="n">
        <f aca="false">IFERROR(SUMIFS(Fonte_Dati!H:H,Fonte_Dati!D:D,C44,Fonte_Dati!C:C,"Febbraio"),0)</f>
        <v>0</v>
      </c>
      <c r="N44" s="40" t="n">
        <f aca="false">IFERROR(SUMIFS(Fonte_Dati!I:I,Fonte_Dati!D:D,C44,Fonte_Dati!C:C,"Febbraio"),0)</f>
        <v>0</v>
      </c>
      <c r="O44" s="24" t="n">
        <f aca="false">IFERROR(N44/K44,0)</f>
        <v>0</v>
      </c>
      <c r="P44" s="92"/>
    </row>
    <row r="45" customFormat="false" ht="16.5" hidden="false" customHeight="true" outlineLevel="0" collapsed="false">
      <c r="A45" s="92"/>
      <c r="B45" s="38" t="n">
        <v>13</v>
      </c>
      <c r="C45" s="22" t="s">
        <v>327</v>
      </c>
      <c r="D45" s="75" t="s">
        <v>320</v>
      </c>
      <c r="E45" s="93" t="str">
        <f aca="false">IFERROR(VLOOKUP(C45,DB_Impianti!C:E,3,0),"")</f>
        <v>DXT</v>
      </c>
      <c r="F45" s="93" t="str">
        <f aca="false">IFERROR(VLOOKUP(C45,DB_Impianti!C:F,4,0),"")</f>
        <v>Moncada Energy Solar Srl</v>
      </c>
      <c r="G45" s="21" t="str">
        <f aca="false">IFERROR(VLOOKUP(C45,DB_Impianti!C:G,5,0),"")</f>
        <v>PVI_0397937_001</v>
      </c>
      <c r="H45" s="24" t="n">
        <f aca="false">IFERROR(VLOOKUP(C45,DB_Impianti!C:H,6,0),0)</f>
        <v>-0.2</v>
      </c>
      <c r="I45" s="96" t="s">
        <v>467</v>
      </c>
      <c r="J45" s="23" t="n">
        <f aca="false">IFERROR(SUMIFS(Fonte_Dati!E:E,Fonte_Dati!D:D,C45,Fonte_Dati!C:C,"Marzo")/1000,0)</f>
        <v>0</v>
      </c>
      <c r="K45" s="23" t="n">
        <f aca="false">IFERROR(SUMIFS(Fonte_Dati!F:F,Fonte_Dati!D:D,C45,Fonte_Dati!C:C,"Marzo")/1000,0)</f>
        <v>0</v>
      </c>
      <c r="L45" s="24" t="n">
        <f aca="false">IFERROR(SUMIFS(Fonte_Dati!G:G,Fonte_Dati!D:D,C45,Fonte_Dati!C:C,"Marzo"),0)</f>
        <v>0</v>
      </c>
      <c r="M45" s="24" t="n">
        <f aca="false">IFERROR(SUMIFS(Fonte_Dati!H:H,Fonte_Dati!D:D,C45,Fonte_Dati!C:C,"Marzo"),0)</f>
        <v>0</v>
      </c>
      <c r="N45" s="40" t="n">
        <f aca="false">IFERROR(SUMIFS(Fonte_Dati!I:I,Fonte_Dati!D:D,C45,Fonte_Dati!C:C,"Marzo"),0)</f>
        <v>0</v>
      </c>
      <c r="O45" s="24" t="n">
        <f aca="false">IFERROR(N45/K45,0)</f>
        <v>0</v>
      </c>
      <c r="P45" s="92"/>
    </row>
    <row r="46" customFormat="false" ht="16.5" hidden="false" customHeight="true" outlineLevel="0" collapsed="false">
      <c r="A46" s="92"/>
      <c r="B46" s="38" t="n">
        <v>14</v>
      </c>
      <c r="C46" s="22" t="s">
        <v>326</v>
      </c>
      <c r="D46" s="75" t="s">
        <v>320</v>
      </c>
      <c r="E46" s="97" t="str">
        <f aca="false">IFERROR(VLOOKUP(C46,DB_Impianti!C:E,3,0),"")</f>
        <v>AXPO</v>
      </c>
      <c r="F46" s="97" t="str">
        <f aca="false">IFERROR(VLOOKUP(C46,DB_Impianti!C:F,4,0),"")</f>
        <v>ERM Srl</v>
      </c>
      <c r="G46" s="25" t="n">
        <f aca="false">IFERROR(VLOOKUP(C46,DB_Impianti!C:G,5,0),"")</f>
        <v>0</v>
      </c>
      <c r="H46" s="27" t="n">
        <f aca="false">IFERROR(VLOOKUP(C46,DB_Impianti!C:H,6,0),0)</f>
        <v>-0.2</v>
      </c>
      <c r="I46" s="94" t="s">
        <v>465</v>
      </c>
      <c r="J46" s="26" t="n">
        <f aca="false">IFERROR(SUMIFS(Fonte_Dati!E:E,Fonte_Dati!D:D,C46,Fonte_Dati!C:C,"Gennaio")/1000,0)</f>
        <v>33.2096999999999</v>
      </c>
      <c r="K46" s="26" t="n">
        <f aca="false">IFERROR(SUMIFS(Fonte_Dati!F:F,Fonte_Dati!D:D,C46,Fonte_Dati!C:C,"Gennaio")/1000,0)</f>
        <v>33.0768611999999</v>
      </c>
      <c r="L46" s="27" t="n">
        <f aca="false">IFERROR(SUMIFS(Fonte_Dati!G:G,Fonte_Dati!D:D,C46,Fonte_Dati!C:C,"Gennaio"),0)</f>
        <v>3870.29813081358</v>
      </c>
      <c r="M46" s="27" t="n">
        <f aca="false">IFERROR(SUMIFS(Fonte_Dati!H:H,Fonte_Dati!D:D,C46,Fonte_Dati!C:C,"Gennaio"),0)</f>
        <v>-6.61537223999998</v>
      </c>
      <c r="N46" s="43" t="n">
        <f aca="false">IFERROR(SUMIFS(Fonte_Dati!I:I,Fonte_Dati!D:D,C46,Fonte_Dati!C:C,"Gennaio"),0)</f>
        <v>3863.68275857358</v>
      </c>
      <c r="O46" s="27" t="n">
        <f aca="false">IFERROR(N46/K46,0)</f>
        <v>116.809232146054</v>
      </c>
      <c r="P46" s="92"/>
    </row>
    <row r="47" customFormat="false" ht="16.5" hidden="false" customHeight="true" outlineLevel="0" collapsed="false">
      <c r="A47" s="92"/>
      <c r="B47" s="38" t="n">
        <v>14</v>
      </c>
      <c r="C47" s="22" t="s">
        <v>326</v>
      </c>
      <c r="D47" s="75" t="s">
        <v>320</v>
      </c>
      <c r="E47" s="97" t="str">
        <f aca="false">IFERROR(VLOOKUP(C47,DB_Impianti!C:E,3,0),"")</f>
        <v>AXPO</v>
      </c>
      <c r="F47" s="97" t="str">
        <f aca="false">IFERROR(VLOOKUP(C47,DB_Impianti!C:F,4,0),"")</f>
        <v>ERM Srl</v>
      </c>
      <c r="G47" s="25" t="n">
        <f aca="false">IFERROR(VLOOKUP(C47,DB_Impianti!C:G,5,0),"")</f>
        <v>0</v>
      </c>
      <c r="H47" s="27" t="n">
        <f aca="false">IFERROR(VLOOKUP(C47,DB_Impianti!C:H,6,0),0)</f>
        <v>-0.2</v>
      </c>
      <c r="I47" s="95" t="s">
        <v>466</v>
      </c>
      <c r="J47" s="26" t="n">
        <f aca="false">IFERROR(SUMIFS(Fonte_Dati!E:E,Fonte_Dati!D:D,C47,Fonte_Dati!C:C,"Febbraio")/1000,0)</f>
        <v>45.3068400000002</v>
      </c>
      <c r="K47" s="26" t="n">
        <f aca="false">IFERROR(SUMIFS(Fonte_Dati!F:F,Fonte_Dati!D:D,C47,Fonte_Dati!C:C,"Febbraio")/1000,0)</f>
        <v>45.1256126400002</v>
      </c>
      <c r="L47" s="27" t="n">
        <f aca="false">IFERROR(SUMIFS(Fonte_Dati!G:G,Fonte_Dati!D:D,C47,Fonte_Dati!C:C,"Febbraio"),0)</f>
        <v>3532.20088091554</v>
      </c>
      <c r="M47" s="27" t="n">
        <f aca="false">IFERROR(SUMIFS(Fonte_Dati!H:H,Fonte_Dati!D:D,C47,Fonte_Dati!C:C,"Febbraio"),0)</f>
        <v>-9.02512252800004</v>
      </c>
      <c r="N47" s="43" t="n">
        <f aca="false">IFERROR(SUMIFS(Fonte_Dati!I:I,Fonte_Dati!D:D,C47,Fonte_Dati!C:C,"Febbraio"),0)</f>
        <v>3523.17575838754</v>
      </c>
      <c r="O47" s="27" t="n">
        <f aca="false">IFERROR(N47/K47,0)</f>
        <v>78.0748570993257</v>
      </c>
      <c r="P47" s="92"/>
    </row>
    <row r="48" customFormat="false" ht="16.5" hidden="false" customHeight="true" outlineLevel="0" collapsed="false">
      <c r="A48" s="92"/>
      <c r="B48" s="38" t="n">
        <v>14</v>
      </c>
      <c r="C48" s="22" t="s">
        <v>326</v>
      </c>
      <c r="D48" s="75" t="s">
        <v>320</v>
      </c>
      <c r="E48" s="97" t="str">
        <f aca="false">IFERROR(VLOOKUP(C48,DB_Impianti!C:E,3,0),"")</f>
        <v>AXPO</v>
      </c>
      <c r="F48" s="97" t="str">
        <f aca="false">IFERROR(VLOOKUP(C48,DB_Impianti!C:F,4,0),"")</f>
        <v>ERM Srl</v>
      </c>
      <c r="G48" s="25" t="n">
        <f aca="false">IFERROR(VLOOKUP(C48,DB_Impianti!C:G,5,0),"")</f>
        <v>0</v>
      </c>
      <c r="H48" s="27" t="n">
        <f aca="false">IFERROR(VLOOKUP(C48,DB_Impianti!C:H,6,0),0)</f>
        <v>-0.2</v>
      </c>
      <c r="I48" s="96" t="s">
        <v>467</v>
      </c>
      <c r="J48" s="26" t="n">
        <f aca="false">IFERROR(SUMIFS(Fonte_Dati!E:E,Fonte_Dati!D:D,C48,Fonte_Dati!C:C,"Marzo")/1000,0)</f>
        <v>0</v>
      </c>
      <c r="K48" s="26" t="n">
        <f aca="false">IFERROR(SUMIFS(Fonte_Dati!F:F,Fonte_Dati!D:D,C48,Fonte_Dati!C:C,"Marzo")/1000,0)</f>
        <v>0</v>
      </c>
      <c r="L48" s="27" t="n">
        <f aca="false">IFERROR(SUMIFS(Fonte_Dati!G:G,Fonte_Dati!D:D,C48,Fonte_Dati!C:C,"Marzo"),0)</f>
        <v>0</v>
      </c>
      <c r="M48" s="27" t="n">
        <f aca="false">IFERROR(SUMIFS(Fonte_Dati!H:H,Fonte_Dati!D:D,C48,Fonte_Dati!C:C,"Marzo"),0)</f>
        <v>0</v>
      </c>
      <c r="N48" s="43" t="n">
        <f aca="false">IFERROR(SUMIFS(Fonte_Dati!I:I,Fonte_Dati!D:D,C48,Fonte_Dati!C:C,"Marzo"),0)</f>
        <v>0</v>
      </c>
      <c r="O48" s="27" t="n">
        <f aca="false">IFERROR(N48/K48,0)</f>
        <v>0</v>
      </c>
      <c r="P48" s="92"/>
    </row>
    <row r="49" customFormat="false" ht="16.5" hidden="false" customHeight="true" outlineLevel="0" collapsed="false">
      <c r="A49" s="92"/>
      <c r="B49" s="38" t="n">
        <v>15</v>
      </c>
      <c r="C49" s="22" t="s">
        <v>321</v>
      </c>
      <c r="D49" s="75" t="s">
        <v>320</v>
      </c>
      <c r="E49" s="93" t="str">
        <f aca="false">IFERROR(VLOOKUP(C49,DB_Impianti!C:E,3,0),"")</f>
        <v>DXT</v>
      </c>
      <c r="F49" s="93" t="str">
        <f aca="false">IFERROR(VLOOKUP(C49,DB_Impianti!C:F,4,0),"")</f>
        <v>Moncada Energy Group Srl</v>
      </c>
      <c r="G49" s="21" t="str">
        <f aca="false">IFERROR(VLOOKUP(C49,DB_Impianti!C:G,5,0),"")</f>
        <v>PVI_0130620_001</v>
      </c>
      <c r="H49" s="24" t="n">
        <f aca="false">IFERROR(VLOOKUP(C49,DB_Impianti!C:H,6,0),0)</f>
        <v>-0.2</v>
      </c>
      <c r="I49" s="94" t="s">
        <v>465</v>
      </c>
      <c r="J49" s="23" t="n">
        <f aca="false">IFERROR(SUMIFS(Fonte_Dati!E:E,Fonte_Dati!D:D,C49,Fonte_Dati!C:C,"Gennaio")/1000,0)</f>
        <v>24.2952399999995</v>
      </c>
      <c r="K49" s="23" t="n">
        <f aca="false">IFERROR(SUMIFS(Fonte_Dati!F:F,Fonte_Dati!D:D,C49,Fonte_Dati!C:C,"Gennaio")/1000,0)</f>
        <v>24.8540305199995</v>
      </c>
      <c r="L49" s="24" t="n">
        <f aca="false">IFERROR(SUMIFS(Fonte_Dati!G:G,Fonte_Dati!D:D,C49,Fonte_Dati!C:C,"Gennaio"),0)</f>
        <v>3025.13124334057</v>
      </c>
      <c r="M49" s="24" t="n">
        <f aca="false">IFERROR(SUMIFS(Fonte_Dati!H:H,Fonte_Dati!D:D,C49,Fonte_Dati!C:C,"Gennaio"),0)</f>
        <v>-4.97080610399989</v>
      </c>
      <c r="N49" s="40" t="n">
        <f aca="false">IFERROR(SUMIFS(Fonte_Dati!I:I,Fonte_Dati!D:D,C49,Fonte_Dati!C:C,"Gennaio"),0)</f>
        <v>3020.16043723657</v>
      </c>
      <c r="O49" s="24" t="n">
        <f aca="false">IFERROR(N49/K49,0)</f>
        <v>121.515922128055</v>
      </c>
      <c r="P49" s="92"/>
    </row>
    <row r="50" customFormat="false" ht="16.5" hidden="false" customHeight="true" outlineLevel="0" collapsed="false">
      <c r="A50" s="92"/>
      <c r="B50" s="38" t="n">
        <v>15</v>
      </c>
      <c r="C50" s="22" t="s">
        <v>321</v>
      </c>
      <c r="D50" s="75" t="s">
        <v>320</v>
      </c>
      <c r="E50" s="93" t="str">
        <f aca="false">IFERROR(VLOOKUP(C50,DB_Impianti!C:E,3,0),"")</f>
        <v>DXT</v>
      </c>
      <c r="F50" s="93" t="str">
        <f aca="false">IFERROR(VLOOKUP(C50,DB_Impianti!C:F,4,0),"")</f>
        <v>Moncada Energy Group Srl</v>
      </c>
      <c r="G50" s="21" t="str">
        <f aca="false">IFERROR(VLOOKUP(C50,DB_Impianti!C:G,5,0),"")</f>
        <v>PVI_0130620_001</v>
      </c>
      <c r="H50" s="24" t="n">
        <f aca="false">IFERROR(VLOOKUP(C50,DB_Impianti!C:H,6,0),0)</f>
        <v>-0.2</v>
      </c>
      <c r="I50" s="95" t="s">
        <v>466</v>
      </c>
      <c r="J50" s="23" t="n">
        <f aca="false">IFERROR(SUMIFS(Fonte_Dati!E:E,Fonte_Dati!D:D,C50,Fonte_Dati!C:C,"Febbraio")/1000,0)</f>
        <v>46.4066800000001</v>
      </c>
      <c r="K50" s="23" t="n">
        <f aca="false">IFERROR(SUMIFS(Fonte_Dati!F:F,Fonte_Dati!D:D,C50,Fonte_Dati!C:C,"Febbraio")/1000,0)</f>
        <v>47.4740336399999</v>
      </c>
      <c r="L50" s="24" t="n">
        <f aca="false">IFERROR(SUMIFS(Fonte_Dati!G:G,Fonte_Dati!D:D,C50,Fonte_Dati!C:C,"Febbraio"),0)</f>
        <v>3611.67282296191</v>
      </c>
      <c r="M50" s="24" t="n">
        <f aca="false">IFERROR(SUMIFS(Fonte_Dati!H:H,Fonte_Dati!D:D,C50,Fonte_Dati!C:C,"Febbraio"),0)</f>
        <v>-9.49480672800001</v>
      </c>
      <c r="N50" s="40" t="n">
        <f aca="false">IFERROR(SUMIFS(Fonte_Dati!I:I,Fonte_Dati!D:D,C50,Fonte_Dati!C:C,"Febbraio"),0)</f>
        <v>3602.17801623392</v>
      </c>
      <c r="O50" s="24" t="n">
        <f aca="false">IFERROR(N50/K50,0)</f>
        <v>75.8768054880185</v>
      </c>
      <c r="P50" s="92"/>
    </row>
    <row r="51" customFormat="false" ht="16.5" hidden="false" customHeight="true" outlineLevel="0" collapsed="false">
      <c r="A51" s="92"/>
      <c r="B51" s="38" t="n">
        <v>15</v>
      </c>
      <c r="C51" s="22" t="s">
        <v>321</v>
      </c>
      <c r="D51" s="75" t="s">
        <v>320</v>
      </c>
      <c r="E51" s="93" t="str">
        <f aca="false">IFERROR(VLOOKUP(C51,DB_Impianti!C:E,3,0),"")</f>
        <v>DXT</v>
      </c>
      <c r="F51" s="93" t="str">
        <f aca="false">IFERROR(VLOOKUP(C51,DB_Impianti!C:F,4,0),"")</f>
        <v>Moncada Energy Group Srl</v>
      </c>
      <c r="G51" s="21" t="str">
        <f aca="false">IFERROR(VLOOKUP(C51,DB_Impianti!C:G,5,0),"")</f>
        <v>PVI_0130620_001</v>
      </c>
      <c r="H51" s="24" t="n">
        <f aca="false">IFERROR(VLOOKUP(C51,DB_Impianti!C:H,6,0),0)</f>
        <v>-0.2</v>
      </c>
      <c r="I51" s="96" t="s">
        <v>467</v>
      </c>
      <c r="J51" s="23" t="n">
        <f aca="false">IFERROR(SUMIFS(Fonte_Dati!E:E,Fonte_Dati!D:D,C51,Fonte_Dati!C:C,"Marzo")/1000,0)</f>
        <v>0</v>
      </c>
      <c r="K51" s="23" t="n">
        <f aca="false">IFERROR(SUMIFS(Fonte_Dati!F:F,Fonte_Dati!D:D,C51,Fonte_Dati!C:C,"Marzo")/1000,0)</f>
        <v>0</v>
      </c>
      <c r="L51" s="24" t="n">
        <f aca="false">IFERROR(SUMIFS(Fonte_Dati!G:G,Fonte_Dati!D:D,C51,Fonte_Dati!C:C,"Marzo"),0)</f>
        <v>0</v>
      </c>
      <c r="M51" s="24" t="n">
        <f aca="false">IFERROR(SUMIFS(Fonte_Dati!H:H,Fonte_Dati!D:D,C51,Fonte_Dati!C:C,"Marzo"),0)</f>
        <v>0</v>
      </c>
      <c r="N51" s="40" t="n">
        <f aca="false">IFERROR(SUMIFS(Fonte_Dati!I:I,Fonte_Dati!D:D,C51,Fonte_Dati!C:C,"Marzo"),0)</f>
        <v>0</v>
      </c>
      <c r="O51" s="24" t="n">
        <f aca="false">IFERROR(N51/K51,0)</f>
        <v>0</v>
      </c>
      <c r="P51" s="92"/>
    </row>
    <row r="52" customFormat="false" ht="16.5" hidden="false" customHeight="true" outlineLevel="0" collapsed="false">
      <c r="A52" s="92"/>
      <c r="B52" s="38" t="n">
        <v>16</v>
      </c>
      <c r="C52" s="22" t="s">
        <v>332</v>
      </c>
      <c r="D52" s="75" t="s">
        <v>320</v>
      </c>
      <c r="E52" s="97" t="str">
        <f aca="false">IFERROR(VLOOKUP(C52,DB_Impianti!C:E,3,0),"")</f>
        <v>DXT</v>
      </c>
      <c r="F52" s="97" t="str">
        <f aca="false">IFERROR(VLOOKUP(C52,DB_Impianti!C:F,4,0),"")</f>
        <v>Moncada Energy Group Srl</v>
      </c>
      <c r="G52" s="25" t="str">
        <f aca="false">IFERROR(VLOOKUP(C52,DB_Impianti!C:G,5,0),"")</f>
        <v>PVI_0558896_001</v>
      </c>
      <c r="H52" s="27" t="n">
        <f aca="false">IFERROR(VLOOKUP(C52,DB_Impianti!C:H,6,0),0)</f>
        <v>-0.2</v>
      </c>
      <c r="I52" s="94" t="s">
        <v>465</v>
      </c>
      <c r="J52" s="26" t="n">
        <f aca="false">IFERROR(SUMIFS(Fonte_Dati!E:E,Fonte_Dati!D:D,C52,Fonte_Dati!C:C,"Gennaio")/1000,0)</f>
        <v>7.46917800000006</v>
      </c>
      <c r="K52" s="26" t="n">
        <f aca="false">IFERROR(SUMIFS(Fonte_Dati!F:F,Fonte_Dati!D:D,C52,Fonte_Dati!C:C,"Gennaio")/1000,0)</f>
        <v>7.64096909400004</v>
      </c>
      <c r="L52" s="27" t="n">
        <f aca="false">IFERROR(SUMIFS(Fonte_Dati!G:G,Fonte_Dati!D:D,C52,Fonte_Dati!C:C,"Gennaio"),0)</f>
        <v>900.694879193146</v>
      </c>
      <c r="M52" s="27" t="n">
        <f aca="false">IFERROR(SUMIFS(Fonte_Dati!H:H,Fonte_Dati!D:D,C52,Fonte_Dati!C:C,"Gennaio"),0)</f>
        <v>-1.52819381880001</v>
      </c>
      <c r="N52" s="43" t="n">
        <f aca="false">IFERROR(SUMIFS(Fonte_Dati!I:I,Fonte_Dati!D:D,C52,Fonte_Dati!C:C,"Gennaio"),0)</f>
        <v>899.166685374345</v>
      </c>
      <c r="O52" s="27" t="n">
        <f aca="false">IFERROR(N52/K52,0)</f>
        <v>117.677047808033</v>
      </c>
      <c r="P52" s="92"/>
    </row>
    <row r="53" customFormat="false" ht="16.5" hidden="false" customHeight="true" outlineLevel="0" collapsed="false">
      <c r="A53" s="92"/>
      <c r="B53" s="38" t="n">
        <v>16</v>
      </c>
      <c r="C53" s="22" t="s">
        <v>332</v>
      </c>
      <c r="D53" s="75" t="s">
        <v>320</v>
      </c>
      <c r="E53" s="97" t="str">
        <f aca="false">IFERROR(VLOOKUP(C53,DB_Impianti!C:E,3,0),"")</f>
        <v>DXT</v>
      </c>
      <c r="F53" s="97" t="str">
        <f aca="false">IFERROR(VLOOKUP(C53,DB_Impianti!C:F,4,0),"")</f>
        <v>Moncada Energy Group Srl</v>
      </c>
      <c r="G53" s="25" t="str">
        <f aca="false">IFERROR(VLOOKUP(C53,DB_Impianti!C:G,5,0),"")</f>
        <v>PVI_0558896_001</v>
      </c>
      <c r="H53" s="27" t="n">
        <f aca="false">IFERROR(VLOOKUP(C53,DB_Impianti!C:H,6,0),0)</f>
        <v>-0.2</v>
      </c>
      <c r="I53" s="95" t="s">
        <v>466</v>
      </c>
      <c r="J53" s="26" t="n">
        <f aca="false">IFERROR(SUMIFS(Fonte_Dati!E:E,Fonte_Dati!D:D,C53,Fonte_Dati!C:C,"Febbraio")/1000,0)</f>
        <v>11.6970420000002</v>
      </c>
      <c r="K53" s="26" t="n">
        <f aca="false">IFERROR(SUMIFS(Fonte_Dati!F:F,Fonte_Dati!D:D,C53,Fonte_Dati!C:C,"Febbraio")/1000,0)</f>
        <v>11.9660739660002</v>
      </c>
      <c r="L53" s="27" t="n">
        <f aca="false">IFERROR(SUMIFS(Fonte_Dati!G:G,Fonte_Dati!D:D,C53,Fonte_Dati!C:C,"Febbraio"),0)</f>
        <v>928.293212553207</v>
      </c>
      <c r="M53" s="27" t="n">
        <f aca="false">IFERROR(SUMIFS(Fonte_Dati!H:H,Fonte_Dati!D:D,C53,Fonte_Dati!C:C,"Febbraio"),0)</f>
        <v>-2.39321479320005</v>
      </c>
      <c r="N53" s="43" t="n">
        <f aca="false">IFERROR(SUMIFS(Fonte_Dati!I:I,Fonte_Dati!D:D,C53,Fonte_Dati!C:C,"Febbraio"),0)</f>
        <v>925.899997760007</v>
      </c>
      <c r="O53" s="27" t="n">
        <f aca="false">IFERROR(N53/K53,0)</f>
        <v>77.3770912991857</v>
      </c>
      <c r="P53" s="92"/>
    </row>
    <row r="54" customFormat="false" ht="16.5" hidden="false" customHeight="true" outlineLevel="0" collapsed="false">
      <c r="A54" s="92"/>
      <c r="B54" s="38" t="n">
        <v>16</v>
      </c>
      <c r="C54" s="22" t="s">
        <v>332</v>
      </c>
      <c r="D54" s="75" t="s">
        <v>320</v>
      </c>
      <c r="E54" s="97" t="str">
        <f aca="false">IFERROR(VLOOKUP(C54,DB_Impianti!C:E,3,0),"")</f>
        <v>DXT</v>
      </c>
      <c r="F54" s="97" t="str">
        <f aca="false">IFERROR(VLOOKUP(C54,DB_Impianti!C:F,4,0),"")</f>
        <v>Moncada Energy Group Srl</v>
      </c>
      <c r="G54" s="25" t="str">
        <f aca="false">IFERROR(VLOOKUP(C54,DB_Impianti!C:G,5,0),"")</f>
        <v>PVI_0558896_001</v>
      </c>
      <c r="H54" s="27" t="n">
        <f aca="false">IFERROR(VLOOKUP(C54,DB_Impianti!C:H,6,0),0)</f>
        <v>-0.2</v>
      </c>
      <c r="I54" s="96" t="s">
        <v>467</v>
      </c>
      <c r="J54" s="26" t="n">
        <f aca="false">IFERROR(SUMIFS(Fonte_Dati!E:E,Fonte_Dati!D:D,C54,Fonte_Dati!C:C,"Marzo")/1000,0)</f>
        <v>0</v>
      </c>
      <c r="K54" s="26" t="n">
        <f aca="false">IFERROR(SUMIFS(Fonte_Dati!F:F,Fonte_Dati!D:D,C54,Fonte_Dati!C:C,"Marzo")/1000,0)</f>
        <v>0</v>
      </c>
      <c r="L54" s="27" t="n">
        <f aca="false">IFERROR(SUMIFS(Fonte_Dati!G:G,Fonte_Dati!D:D,C54,Fonte_Dati!C:C,"Marzo"),0)</f>
        <v>0</v>
      </c>
      <c r="M54" s="27" t="n">
        <f aca="false">IFERROR(SUMIFS(Fonte_Dati!H:H,Fonte_Dati!D:D,C54,Fonte_Dati!C:C,"Marzo"),0)</f>
        <v>0</v>
      </c>
      <c r="N54" s="43" t="n">
        <f aca="false">IFERROR(SUMIFS(Fonte_Dati!I:I,Fonte_Dati!D:D,C54,Fonte_Dati!C:C,"Marzo"),0)</f>
        <v>0</v>
      </c>
      <c r="O54" s="27" t="n">
        <f aca="false">IFERROR(N54/K54,0)</f>
        <v>0</v>
      </c>
      <c r="P54" s="92"/>
    </row>
    <row r="55" customFormat="false" ht="21.75" hidden="false" customHeight="true" outlineLevel="0" collapsed="false">
      <c r="B55" s="98" t="s">
        <v>468</v>
      </c>
      <c r="C55" s="98"/>
      <c r="D55" s="98"/>
      <c r="E55" s="98"/>
      <c r="F55" s="98"/>
      <c r="G55" s="98"/>
      <c r="H55" s="98"/>
      <c r="I55" s="98"/>
      <c r="J55" s="46" t="n">
        <f aca="false">SUM(J7:J54)</f>
        <v>28821.9063422301</v>
      </c>
      <c r="K55" s="46" t="n">
        <f aca="false">SUM(K7:K54)</f>
        <v>28924.1783519251</v>
      </c>
      <c r="L55" s="29" t="n">
        <f aca="false">SUM(L7:L54)</f>
        <v>3133013.13684192</v>
      </c>
      <c r="M55" s="29" t="n">
        <f aca="false">SUM(M7:M54)</f>
        <v>-5784.83567038502</v>
      </c>
      <c r="N55" s="29" t="n">
        <f aca="false">SUM(N7:N54)</f>
        <v>3127228.30117153</v>
      </c>
      <c r="O55" s="29" t="n">
        <f aca="false">IFERROR(N55/K55,0)</f>
        <v>108.118137812665</v>
      </c>
    </row>
  </sheetData>
  <mergeCells count="3">
    <mergeCell ref="B1:N3"/>
    <mergeCell ref="B4:N4"/>
    <mergeCell ref="B55:I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B1:K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"/>
    <col collapsed="false" customWidth="true" hidden="false" outlineLevel="0" max="3" min="3" style="1" width="26"/>
    <col collapsed="false" customWidth="true" hidden="false" outlineLevel="0" max="9" min="4" style="1" width="16"/>
    <col collapsed="false" customWidth="true" hidden="false" outlineLevel="0" max="11" min="10" style="1" width="14"/>
  </cols>
  <sheetData>
    <row r="1" customFormat="false" ht="15" hidden="false" customHeight="true" outlineLevel="0" collapsed="false">
      <c r="B1" s="17" t="s">
        <v>469</v>
      </c>
      <c r="C1" s="17"/>
      <c r="D1" s="17"/>
      <c r="E1" s="17"/>
      <c r="F1" s="17"/>
      <c r="G1" s="17"/>
      <c r="H1" s="17"/>
      <c r="I1" s="17"/>
      <c r="J1" s="17"/>
      <c r="K1" s="17"/>
    </row>
    <row r="2" customFormat="false" ht="15" hidden="false" customHeight="true" outlineLevel="0" collapsed="false">
      <c r="B2" s="17"/>
      <c r="C2" s="17"/>
      <c r="D2" s="17"/>
      <c r="E2" s="17"/>
      <c r="F2" s="17"/>
      <c r="G2" s="17"/>
      <c r="H2" s="17"/>
      <c r="I2" s="17"/>
      <c r="J2" s="17"/>
      <c r="K2" s="17"/>
    </row>
    <row r="3" customFormat="false" ht="15" hidden="false" customHeight="true" outlineLevel="0" collapsed="false">
      <c r="B3" s="17"/>
      <c r="C3" s="17"/>
      <c r="D3" s="17"/>
      <c r="E3" s="17"/>
      <c r="F3" s="17"/>
      <c r="G3" s="17"/>
      <c r="H3" s="17"/>
      <c r="I3" s="17"/>
      <c r="J3" s="17"/>
      <c r="K3" s="17"/>
    </row>
    <row r="4" customFormat="false" ht="15" hidden="false" customHeight="true" outlineLevel="0" collapsed="false">
      <c r="B4" s="18" t="s">
        <v>470</v>
      </c>
      <c r="C4" s="18"/>
      <c r="D4" s="18"/>
      <c r="E4" s="18"/>
      <c r="F4" s="18"/>
      <c r="G4" s="18"/>
      <c r="H4" s="18"/>
      <c r="I4" s="18"/>
      <c r="J4" s="18"/>
      <c r="K4" s="18"/>
    </row>
    <row r="6" customFormat="false" ht="15" hidden="false" customHeight="true" outlineLevel="0" collapsed="false">
      <c r="B6" s="30" t="s">
        <v>471</v>
      </c>
      <c r="C6" s="30"/>
      <c r="D6" s="30"/>
      <c r="E6" s="30"/>
      <c r="F6" s="30"/>
      <c r="G6" s="30"/>
      <c r="H6" s="30"/>
      <c r="I6" s="30"/>
      <c r="J6" s="30"/>
      <c r="K6" s="30"/>
    </row>
    <row r="7" customFormat="false" ht="27.75" hidden="false" customHeight="true" outlineLevel="0" collapsed="false">
      <c r="B7" s="20" t="s">
        <v>472</v>
      </c>
      <c r="C7" s="20" t="s">
        <v>310</v>
      </c>
      <c r="D7" s="20" t="s">
        <v>317</v>
      </c>
      <c r="E7" s="20" t="s">
        <v>346</v>
      </c>
      <c r="F7" s="20" t="s">
        <v>473</v>
      </c>
      <c r="G7" s="20" t="s">
        <v>474</v>
      </c>
      <c r="H7" s="20" t="s">
        <v>430</v>
      </c>
      <c r="I7" s="20" t="s">
        <v>316</v>
      </c>
      <c r="J7" s="20" t="s">
        <v>463</v>
      </c>
      <c r="K7" s="20" t="s">
        <v>475</v>
      </c>
    </row>
    <row r="8" customFormat="false" ht="16.5" hidden="false" customHeight="true" outlineLevel="0" collapsed="false">
      <c r="B8" s="99" t="s">
        <v>476</v>
      </c>
      <c r="C8" s="70" t="s">
        <v>336</v>
      </c>
      <c r="D8" s="71" t="s">
        <v>334</v>
      </c>
      <c r="E8" s="93" t="s">
        <v>364</v>
      </c>
      <c r="F8" s="100" t="n">
        <f aca="false">IFERROR(SUMIFS(Fonte_Dati!E:E,Fonte_Dati!D:D,C8)/1000,0)</f>
        <v>9096.22360722042</v>
      </c>
      <c r="G8" s="100" t="n">
        <f aca="false">IFERROR(SUMIFS(Fonte_Dati!F:F,Fonte_Dati!D:D,C8)/1000,0)</f>
        <v>9096.23162365926</v>
      </c>
      <c r="H8" s="40" t="n">
        <f aca="false">IFERROR(SUMIFS(Fonte_Dati!I:I,Fonte_Dati!D:D,C8),0)</f>
        <v>1040798.08590084</v>
      </c>
      <c r="I8" s="24" t="n">
        <f aca="false">IFERROR(H8/G8,0)</f>
        <v>114.420798519876</v>
      </c>
      <c r="J8" s="24" t="n">
        <f aca="false">IFERROR(VLOOKUP(C8,DB_Impianti!C:H,6,0),0)</f>
        <v>-1.36</v>
      </c>
      <c r="K8" s="42" t="n">
        <f aca="false">IFERROR(H8/3127228.3,0)</f>
        <v>0.332818069566857</v>
      </c>
    </row>
    <row r="9" customFormat="false" ht="16.5" hidden="false" customHeight="true" outlineLevel="0" collapsed="false">
      <c r="B9" s="101" t="s">
        <v>477</v>
      </c>
      <c r="C9" s="73" t="s">
        <v>333</v>
      </c>
      <c r="D9" s="71" t="s">
        <v>334</v>
      </c>
      <c r="E9" s="97" t="s">
        <v>368</v>
      </c>
      <c r="F9" s="102" t="n">
        <f aca="false">IFERROR(SUMIFS(Fonte_Dati!E:E,Fonte_Dati!D:D,C9)/1000,0)</f>
        <v>8107.31482333447</v>
      </c>
      <c r="G9" s="102" t="n">
        <f aca="false">IFERROR(SUMIFS(Fonte_Dati!F:F,Fonte_Dati!D:D,C9)/1000,0)</f>
        <v>8107.31482333447</v>
      </c>
      <c r="H9" s="43" t="n">
        <f aca="false">IFERROR(SUMIFS(Fonte_Dati!I:I,Fonte_Dati!D:D,C9),0)</f>
        <v>906810.800677789</v>
      </c>
      <c r="I9" s="27" t="n">
        <f aca="false">IFERROR(H9/G9,0)</f>
        <v>111.85094207367</v>
      </c>
      <c r="J9" s="27" t="n">
        <f aca="false">IFERROR(VLOOKUP(C9,DB_Impianti!C:H,6,0),0)</f>
        <v>-1.86</v>
      </c>
      <c r="K9" s="45" t="n">
        <f aca="false">IFERROR(H9/3127228.3,0)</f>
        <v>0.289972689450843</v>
      </c>
    </row>
    <row r="10" customFormat="false" ht="16.5" hidden="false" customHeight="true" outlineLevel="0" collapsed="false">
      <c r="B10" s="103" t="s">
        <v>478</v>
      </c>
      <c r="C10" s="70" t="s">
        <v>335</v>
      </c>
      <c r="D10" s="71" t="s">
        <v>334</v>
      </c>
      <c r="E10" s="93" t="s">
        <v>364</v>
      </c>
      <c r="F10" s="100" t="n">
        <f aca="false">IFERROR(SUMIFS(Fonte_Dati!E:E,Fonte_Dati!D:D,C10)/1000,0)</f>
        <v>3945.05626667521</v>
      </c>
      <c r="G10" s="100" t="n">
        <f aca="false">IFERROR(SUMIFS(Fonte_Dati!F:F,Fonte_Dati!D:D,C10)/1000,0)</f>
        <v>3945.07749451136</v>
      </c>
      <c r="H10" s="40" t="n">
        <f aca="false">IFERROR(SUMIFS(Fonte_Dati!I:I,Fonte_Dati!D:D,C10),0)</f>
        <v>444266.497726125</v>
      </c>
      <c r="I10" s="24" t="n">
        <f aca="false">IFERROR(H10/G10,0)</f>
        <v>112.612869669662</v>
      </c>
      <c r="J10" s="24" t="n">
        <f aca="false">IFERROR(VLOOKUP(C10,DB_Impianti!C:H,6,0),0)</f>
        <v>-1.36</v>
      </c>
      <c r="K10" s="42" t="n">
        <f aca="false">IFERROR(H10/3127228.3,0)</f>
        <v>0.142063979699252</v>
      </c>
    </row>
    <row r="11" customFormat="false" ht="16.5" hidden="false" customHeight="true" outlineLevel="0" collapsed="false">
      <c r="B11" s="38" t="s">
        <v>479</v>
      </c>
      <c r="C11" s="73" t="s">
        <v>323</v>
      </c>
      <c r="D11" s="75" t="s">
        <v>320</v>
      </c>
      <c r="E11" s="97" t="s">
        <v>371</v>
      </c>
      <c r="F11" s="102" t="n">
        <f aca="false">IFERROR(SUMIFS(Fonte_Dati!E:E,Fonte_Dati!D:D,C11)/1000,0)</f>
        <v>1544.21248</v>
      </c>
      <c r="G11" s="102" t="n">
        <f aca="false">IFERROR(SUMIFS(Fonte_Dati!F:F,Fonte_Dati!D:D,C11)/1000,0)</f>
        <v>1579.72936704</v>
      </c>
      <c r="H11" s="43" t="n">
        <f aca="false">IFERROR(SUMIFS(Fonte_Dati!I:I,Fonte_Dati!D:D,C11),0)</f>
        <v>150090.728739646</v>
      </c>
      <c r="I11" s="27" t="n">
        <f aca="false">IFERROR(H11/G11,0)</f>
        <v>95.0104061310683</v>
      </c>
      <c r="J11" s="27" t="n">
        <f aca="false">IFERROR(VLOOKUP(C11,DB_Impianti!C:H,6,0),0)</f>
        <v>-0.2</v>
      </c>
      <c r="K11" s="45" t="n">
        <f aca="false">IFERROR(H11/3127228.3,0)</f>
        <v>0.047994810209298</v>
      </c>
    </row>
    <row r="12" customFormat="false" ht="16.5" hidden="false" customHeight="true" outlineLevel="0" collapsed="false">
      <c r="B12" s="38" t="s">
        <v>480</v>
      </c>
      <c r="C12" s="70" t="s">
        <v>322</v>
      </c>
      <c r="D12" s="75" t="s">
        <v>320</v>
      </c>
      <c r="E12" s="93" t="s">
        <v>371</v>
      </c>
      <c r="F12" s="100" t="n">
        <f aca="false">IFERROR(SUMIFS(Fonte_Dati!E:E,Fonte_Dati!D:D,C12)/1000,0)</f>
        <v>1503.9636</v>
      </c>
      <c r="G12" s="100" t="n">
        <f aca="false">IFERROR(SUMIFS(Fonte_Dati!F:F,Fonte_Dati!D:D,C12)/1000,0)</f>
        <v>1538.5547628</v>
      </c>
      <c r="H12" s="40" t="n">
        <f aca="false">IFERROR(SUMIFS(Fonte_Dati!I:I,Fonte_Dati!D:D,C12),0)</f>
        <v>148048.999056861</v>
      </c>
      <c r="I12" s="24" t="n">
        <f aca="false">IFERROR(H12/G12,0)</f>
        <v>96.2260184924635</v>
      </c>
      <c r="J12" s="24" t="n">
        <f aca="false">IFERROR(VLOOKUP(C12,DB_Impianti!C:H,6,0),0)</f>
        <v>-0.2</v>
      </c>
      <c r="K12" s="42" t="n">
        <f aca="false">IFERROR(H12/3127228.3,0)</f>
        <v>0.0473419222564789</v>
      </c>
    </row>
    <row r="13" customFormat="false" ht="16.5" hidden="false" customHeight="true" outlineLevel="0" collapsed="false">
      <c r="B13" s="38" t="s">
        <v>481</v>
      </c>
      <c r="C13" s="73" t="s">
        <v>319</v>
      </c>
      <c r="D13" s="75" t="s">
        <v>320</v>
      </c>
      <c r="E13" s="97" t="s">
        <v>364</v>
      </c>
      <c r="F13" s="102" t="n">
        <f aca="false">IFERROR(SUMIFS(Fonte_Dati!E:E,Fonte_Dati!D:D,C13)/1000,0)</f>
        <v>1146.88848000001</v>
      </c>
      <c r="G13" s="102" t="n">
        <f aca="false">IFERROR(SUMIFS(Fonte_Dati!F:F,Fonte_Dati!D:D,C13)/1000,0)</f>
        <v>1142.30092608001</v>
      </c>
      <c r="H13" s="43" t="n">
        <f aca="false">IFERROR(SUMIFS(Fonte_Dati!I:I,Fonte_Dati!D:D,C13),0)</f>
        <v>103282.138342492</v>
      </c>
      <c r="I13" s="27" t="n">
        <f aca="false">IFERROR(H13/G13,0)</f>
        <v>90.4158755232055</v>
      </c>
      <c r="J13" s="27" t="n">
        <f aca="false">IFERROR(VLOOKUP(C13,DB_Impianti!C:H,6,0),0)</f>
        <v>-0.2</v>
      </c>
      <c r="K13" s="45" t="n">
        <f aca="false">IFERROR(H13/3127228.3,0)</f>
        <v>0.0330267343585027</v>
      </c>
    </row>
    <row r="14" customFormat="false" ht="16.5" hidden="false" customHeight="true" outlineLevel="0" collapsed="false">
      <c r="B14" s="38" t="s">
        <v>482</v>
      </c>
      <c r="C14" s="70" t="s">
        <v>331</v>
      </c>
      <c r="D14" s="75" t="s">
        <v>320</v>
      </c>
      <c r="E14" s="93" t="s">
        <v>364</v>
      </c>
      <c r="F14" s="100" t="n">
        <f aca="false">IFERROR(SUMIFS(Fonte_Dati!E:E,Fonte_Dati!D:D,C14)/1000,0)</f>
        <v>787.129200000003</v>
      </c>
      <c r="G14" s="100" t="n">
        <f aca="false">IFERROR(SUMIFS(Fonte_Dati!F:F,Fonte_Dati!D:D,C14)/1000,0)</f>
        <v>805.233171600002</v>
      </c>
      <c r="H14" s="40" t="n">
        <f aca="false">IFERROR(SUMIFS(Fonte_Dati!I:I,Fonte_Dati!D:D,C14),0)</f>
        <v>77519.6848316969</v>
      </c>
      <c r="I14" s="24" t="n">
        <f aca="false">IFERROR(H14/G14,0)</f>
        <v>96.269860166919</v>
      </c>
      <c r="J14" s="24" t="n">
        <f aca="false">IFERROR(VLOOKUP(C14,DB_Impianti!C:H,6,0),0)</f>
        <v>-0.2</v>
      </c>
      <c r="K14" s="42" t="n">
        <f aca="false">IFERROR(H14/3127228.3,0)</f>
        <v>0.0247886234694464</v>
      </c>
    </row>
    <row r="15" customFormat="false" ht="16.5" hidden="false" customHeight="true" outlineLevel="0" collapsed="false">
      <c r="B15" s="38" t="s">
        <v>483</v>
      </c>
      <c r="C15" s="73" t="s">
        <v>330</v>
      </c>
      <c r="D15" s="75" t="s">
        <v>320</v>
      </c>
      <c r="E15" s="97" t="s">
        <v>364</v>
      </c>
      <c r="F15" s="102" t="n">
        <f aca="false">IFERROR(SUMIFS(Fonte_Dati!E:E,Fonte_Dati!D:D,C15)/1000,0)</f>
        <v>801.507599999995</v>
      </c>
      <c r="G15" s="102" t="n">
        <f aca="false">IFERROR(SUMIFS(Fonte_Dati!F:F,Fonte_Dati!D:D,C15)/1000,0)</f>
        <v>798.301569599996</v>
      </c>
      <c r="H15" s="43" t="n">
        <f aca="false">IFERROR(SUMIFS(Fonte_Dati!I:I,Fonte_Dati!D:D,C15),0)</f>
        <v>75964.7754376961</v>
      </c>
      <c r="I15" s="27" t="n">
        <f aca="false">IFERROR(H15/G15,0)</f>
        <v>95.1579933329703</v>
      </c>
      <c r="J15" s="27" t="n">
        <f aca="false">IFERROR(VLOOKUP(C15,DB_Impianti!C:H,6,0),0)</f>
        <v>-0.2</v>
      </c>
      <c r="K15" s="45" t="n">
        <f aca="false">IFERROR(H15/3127228.3,0)</f>
        <v>0.0242914070065483</v>
      </c>
    </row>
    <row r="16" customFormat="false" ht="16.5" hidden="false" customHeight="true" outlineLevel="0" collapsed="false">
      <c r="B16" s="38" t="s">
        <v>484</v>
      </c>
      <c r="C16" s="70" t="s">
        <v>328</v>
      </c>
      <c r="D16" s="75" t="s">
        <v>320</v>
      </c>
      <c r="E16" s="93" t="s">
        <v>371</v>
      </c>
      <c r="F16" s="100" t="n">
        <f aca="false">IFERROR(SUMIFS(Fonte_Dati!E:E,Fonte_Dati!D:D,C16)/1000,0)</f>
        <v>521.4165</v>
      </c>
      <c r="G16" s="100" t="n">
        <f aca="false">IFERROR(SUMIFS(Fonte_Dati!F:F,Fonte_Dati!D:D,C16)/1000,0)</f>
        <v>533.4090795</v>
      </c>
      <c r="H16" s="40" t="n">
        <f aca="false">IFERROR(SUMIFS(Fonte_Dati!I:I,Fonte_Dati!D:D,C16),0)</f>
        <v>50752.1052524564</v>
      </c>
      <c r="I16" s="24" t="n">
        <f aca="false">IFERROR(H16/G16,0)</f>
        <v>95.1466842297281</v>
      </c>
      <c r="J16" s="24" t="n">
        <f aca="false">IFERROR(VLOOKUP(C16,DB_Impianti!C:H,6,0),0)</f>
        <v>-0.2</v>
      </c>
      <c r="K16" s="42" t="n">
        <f aca="false">IFERROR(H16/3127228.3,0)</f>
        <v>0.016229101422642</v>
      </c>
    </row>
    <row r="17" customFormat="false" ht="16.5" hidden="false" customHeight="true" outlineLevel="0" collapsed="false">
      <c r="B17" s="38" t="s">
        <v>485</v>
      </c>
      <c r="C17" s="73" t="s">
        <v>329</v>
      </c>
      <c r="D17" s="75" t="s">
        <v>320</v>
      </c>
      <c r="E17" s="97" t="s">
        <v>364</v>
      </c>
      <c r="F17" s="102" t="n">
        <f aca="false">IFERROR(SUMIFS(Fonte_Dati!E:E,Fonte_Dati!D:D,C17)/1000,0)</f>
        <v>476.966079999999</v>
      </c>
      <c r="G17" s="102" t="n">
        <f aca="false">IFERROR(SUMIFS(Fonte_Dati!F:F,Fonte_Dati!D:D,C17)/1000,0)</f>
        <v>487.936299839997</v>
      </c>
      <c r="H17" s="43" t="n">
        <f aca="false">IFERROR(SUMIFS(Fonte_Dati!I:I,Fonte_Dati!D:D,C17),0)</f>
        <v>46480.2054476367</v>
      </c>
      <c r="I17" s="27" t="n">
        <f aca="false">IFERROR(H17/G17,0)</f>
        <v>95.2587570608671</v>
      </c>
      <c r="J17" s="27" t="n">
        <f aca="false">IFERROR(VLOOKUP(C17,DB_Impianti!C:H,6,0),0)</f>
        <v>-0.2</v>
      </c>
      <c r="K17" s="45" t="n">
        <f aca="false">IFERROR(H17/3127228.3,0)</f>
        <v>0.0148630675437533</v>
      </c>
    </row>
    <row r="18" customFormat="false" ht="16.5" hidden="false" customHeight="true" outlineLevel="0" collapsed="false">
      <c r="B18" s="38" t="s">
        <v>486</v>
      </c>
      <c r="C18" s="70" t="s">
        <v>324</v>
      </c>
      <c r="D18" s="75" t="s">
        <v>320</v>
      </c>
      <c r="E18" s="93" t="s">
        <v>371</v>
      </c>
      <c r="F18" s="100" t="n">
        <f aca="false">IFERROR(SUMIFS(Fonte_Dati!E:E,Fonte_Dati!D:D,C18)/1000,0)</f>
        <v>326.175825</v>
      </c>
      <c r="G18" s="100" t="n">
        <f aca="false">IFERROR(SUMIFS(Fonte_Dati!F:F,Fonte_Dati!D:D,C18)/1000,0)</f>
        <v>324.8711217</v>
      </c>
      <c r="H18" s="40" t="n">
        <f aca="false">IFERROR(SUMIFS(Fonte_Dati!I:I,Fonte_Dati!D:D,C18),0)</f>
        <v>29669.3024449004</v>
      </c>
      <c r="I18" s="24" t="n">
        <f aca="false">IFERROR(H18/G18,0)</f>
        <v>91.3263767171596</v>
      </c>
      <c r="J18" s="24" t="n">
        <f aca="false">IFERROR(VLOOKUP(C18,DB_Impianti!C:H,6,0),0)</f>
        <v>-0.2</v>
      </c>
      <c r="K18" s="42" t="n">
        <f aca="false">IFERROR(H18/3127228.3,0)</f>
        <v>0.00948741172651207</v>
      </c>
    </row>
    <row r="19" customFormat="false" ht="16.5" hidden="false" customHeight="true" outlineLevel="0" collapsed="false">
      <c r="B19" s="38" t="s">
        <v>487</v>
      </c>
      <c r="C19" s="73" t="s">
        <v>325</v>
      </c>
      <c r="D19" s="75" t="s">
        <v>320</v>
      </c>
      <c r="E19" s="97" t="s">
        <v>364</v>
      </c>
      <c r="F19" s="102" t="n">
        <f aca="false">IFERROR(SUMIFS(Fonte_Dati!E:E,Fonte_Dati!D:D,C19)/1000,0)</f>
        <v>320.477040000006</v>
      </c>
      <c r="G19" s="102" t="n">
        <f aca="false">IFERROR(SUMIFS(Fonte_Dati!F:F,Fonte_Dati!D:D,C19)/1000,0)</f>
        <v>319.195131840006</v>
      </c>
      <c r="H19" s="43" t="n">
        <f aca="false">IFERROR(SUMIFS(Fonte_Dati!I:I,Fonte_Dati!D:D,C19),0)</f>
        <v>28983.418961309</v>
      </c>
      <c r="I19" s="27" t="n">
        <f aca="false">IFERROR(H19/G19,0)</f>
        <v>90.8015695422219</v>
      </c>
      <c r="J19" s="27" t="n">
        <f aca="false">IFERROR(VLOOKUP(C19,DB_Impianti!C:H,6,0),0)</f>
        <v>-0.2</v>
      </c>
      <c r="K19" s="45" t="n">
        <f aca="false">IFERROR(H19/3127228.3,0)</f>
        <v>0.00926808540371325</v>
      </c>
    </row>
    <row r="20" customFormat="false" ht="16.5" hidden="false" customHeight="true" outlineLevel="0" collapsed="false">
      <c r="B20" s="38" t="s">
        <v>488</v>
      </c>
      <c r="C20" s="70" t="s">
        <v>327</v>
      </c>
      <c r="D20" s="75" t="s">
        <v>320</v>
      </c>
      <c r="E20" s="93" t="s">
        <v>364</v>
      </c>
      <c r="F20" s="100" t="n">
        <f aca="false">IFERROR(SUMIFS(Fonte_Dati!E:E,Fonte_Dati!D:D,C20)/1000,0)</f>
        <v>76.1901599999965</v>
      </c>
      <c r="G20" s="100" t="n">
        <f aca="false">IFERROR(SUMIFS(Fonte_Dati!F:F,Fonte_Dati!D:D,C20)/1000,0)</f>
        <v>75.8853993599965</v>
      </c>
      <c r="H20" s="40" t="n">
        <f aca="false">IFERROR(SUMIFS(Fonte_Dati!I:I,Fonte_Dati!D:D,C20),0)</f>
        <v>8727.29469851368</v>
      </c>
      <c r="I20" s="24" t="n">
        <f aca="false">IFERROR(H20/G20,0)</f>
        <v>115.006243257835</v>
      </c>
      <c r="J20" s="24" t="n">
        <f aca="false">IFERROR(VLOOKUP(C20,DB_Impianti!C:H,6,0),0)</f>
        <v>-0.2</v>
      </c>
      <c r="K20" s="42" t="n">
        <f aca="false">IFERROR(H20/3127228.3,0)</f>
        <v>0.00279074434652362</v>
      </c>
    </row>
    <row r="21" customFormat="false" ht="16.5" hidden="false" customHeight="true" outlineLevel="0" collapsed="false">
      <c r="B21" s="38" t="s">
        <v>489</v>
      </c>
      <c r="C21" s="73" t="s">
        <v>326</v>
      </c>
      <c r="D21" s="75" t="s">
        <v>320</v>
      </c>
      <c r="E21" s="97" t="s">
        <v>371</v>
      </c>
      <c r="F21" s="102" t="n">
        <f aca="false">IFERROR(SUMIFS(Fonte_Dati!E:E,Fonte_Dati!D:D,C21)/1000,0)</f>
        <v>78.5165400000001</v>
      </c>
      <c r="G21" s="102" t="n">
        <f aca="false">IFERROR(SUMIFS(Fonte_Dati!F:F,Fonte_Dati!D:D,C21)/1000,0)</f>
        <v>78.2024738400001</v>
      </c>
      <c r="H21" s="43" t="n">
        <f aca="false">IFERROR(SUMIFS(Fonte_Dati!I:I,Fonte_Dati!D:D,C21),0)</f>
        <v>7386.85851696112</v>
      </c>
      <c r="I21" s="27" t="n">
        <f aca="false">IFERROR(H21/G21,0)</f>
        <v>94.4581181929667</v>
      </c>
      <c r="J21" s="27" t="n">
        <f aca="false">IFERROR(VLOOKUP(C21,DB_Impianti!C:H,6,0),0)</f>
        <v>-0.2</v>
      </c>
      <c r="K21" s="45" t="n">
        <f aca="false">IFERROR(H21/3127228.3,0)</f>
        <v>0.00236211040842817</v>
      </c>
    </row>
    <row r="22" customFormat="false" ht="16.5" hidden="false" customHeight="true" outlineLevel="0" collapsed="false">
      <c r="B22" s="38" t="s">
        <v>490</v>
      </c>
      <c r="C22" s="70" t="s">
        <v>321</v>
      </c>
      <c r="D22" s="75" t="s">
        <v>320</v>
      </c>
      <c r="E22" s="93" t="s">
        <v>364</v>
      </c>
      <c r="F22" s="100" t="n">
        <f aca="false">IFERROR(SUMIFS(Fonte_Dati!E:E,Fonte_Dati!D:D,C22)/1000,0)</f>
        <v>70.7019199999996</v>
      </c>
      <c r="G22" s="100" t="n">
        <f aca="false">IFERROR(SUMIFS(Fonte_Dati!F:F,Fonte_Dati!D:D,C22)/1000,0)</f>
        <v>72.3280641599994</v>
      </c>
      <c r="H22" s="40" t="n">
        <f aca="false">IFERROR(SUMIFS(Fonte_Dati!I:I,Fonte_Dati!D:D,C22),0)</f>
        <v>6622.33845347049</v>
      </c>
      <c r="I22" s="24" t="n">
        <f aca="false">IFERROR(H22/G22,0)</f>
        <v>91.5597359113744</v>
      </c>
      <c r="J22" s="24" t="n">
        <f aca="false">IFERROR(VLOOKUP(C22,DB_Impianti!C:H,6,0),0)</f>
        <v>-0.2</v>
      </c>
      <c r="K22" s="42" t="n">
        <f aca="false">IFERROR(H22/3127228.3,0)</f>
        <v>0.00211763831040749</v>
      </c>
    </row>
    <row r="23" customFormat="false" ht="16.5" hidden="false" customHeight="true" outlineLevel="0" collapsed="false">
      <c r="B23" s="38" t="s">
        <v>491</v>
      </c>
      <c r="C23" s="73" t="s">
        <v>332</v>
      </c>
      <c r="D23" s="75" t="s">
        <v>320</v>
      </c>
      <c r="E23" s="97" t="s">
        <v>364</v>
      </c>
      <c r="F23" s="102" t="n">
        <f aca="false">IFERROR(SUMIFS(Fonte_Dati!E:E,Fonte_Dati!D:D,C23)/1000,0)</f>
        <v>19.1662200000003</v>
      </c>
      <c r="G23" s="102" t="n">
        <f aca="false">IFERROR(SUMIFS(Fonte_Dati!F:F,Fonte_Dati!D:D,C23)/1000,0)</f>
        <v>19.6070430600002</v>
      </c>
      <c r="H23" s="43" t="n">
        <f aca="false">IFERROR(SUMIFS(Fonte_Dati!I:I,Fonte_Dati!D:D,C23),0)</f>
        <v>1825.06668313435</v>
      </c>
      <c r="I23" s="27" t="n">
        <f aca="false">IFERROR(H23/G23,0)</f>
        <v>93.0821989603123</v>
      </c>
      <c r="J23" s="27" t="n">
        <f aca="false">IFERROR(VLOOKUP(C23,DB_Impianti!C:H,6,0),0)</f>
        <v>-0.2</v>
      </c>
      <c r="K23" s="45" t="n">
        <f aca="false">IFERROR(H23/3127228.3,0)</f>
        <v>0.00058360519541677</v>
      </c>
    </row>
    <row r="26" customFormat="false" ht="15" hidden="false" customHeight="true" outlineLevel="0" collapsed="false">
      <c r="B26" s="30" t="s">
        <v>492</v>
      </c>
      <c r="C26" s="30"/>
      <c r="D26" s="30"/>
      <c r="E26" s="30"/>
      <c r="F26" s="30"/>
      <c r="G26" s="30"/>
      <c r="H26" s="30"/>
      <c r="I26" s="30"/>
      <c r="J26" s="30"/>
      <c r="K26" s="30"/>
    </row>
    <row r="27" customFormat="false" ht="27.75" hidden="false" customHeight="true" outlineLevel="0" collapsed="false">
      <c r="B27" s="20" t="s">
        <v>472</v>
      </c>
      <c r="C27" s="20" t="s">
        <v>310</v>
      </c>
      <c r="D27" s="20" t="s">
        <v>317</v>
      </c>
      <c r="E27" s="20" t="s">
        <v>346</v>
      </c>
      <c r="F27" s="20" t="s">
        <v>461</v>
      </c>
      <c r="G27" s="20" t="s">
        <v>462</v>
      </c>
      <c r="H27" s="20" t="s">
        <v>430</v>
      </c>
      <c r="I27" s="20" t="s">
        <v>316</v>
      </c>
      <c r="J27" s="20" t="s">
        <v>349</v>
      </c>
      <c r="K27" s="20" t="s">
        <v>493</v>
      </c>
    </row>
    <row r="28" customFormat="false" ht="16.5" hidden="false" customHeight="true" outlineLevel="0" collapsed="false">
      <c r="B28" s="99" t="s">
        <v>476</v>
      </c>
      <c r="C28" s="70" t="s">
        <v>327</v>
      </c>
      <c r="D28" s="75" t="s">
        <v>320</v>
      </c>
      <c r="E28" s="93" t="s">
        <v>364</v>
      </c>
      <c r="F28" s="100" t="n">
        <f aca="false">IFERROR(SUMIFS(Fonte_Dati!E:E,Fonte_Dati!D:D,C28)/1000,0)</f>
        <v>76.1901599999965</v>
      </c>
      <c r="G28" s="100" t="n">
        <f aca="false">IFERROR(SUMIFS(Fonte_Dati!F:F,Fonte_Dati!D:D,C28)/1000,0)</f>
        <v>75.8853993599965</v>
      </c>
      <c r="H28" s="40" t="n">
        <f aca="false">IFERROR(SUMIFS(Fonte_Dati!I:I,Fonte_Dati!D:D,C28),0)</f>
        <v>8727.29469851368</v>
      </c>
      <c r="I28" s="24" t="n">
        <f aca="false">IFERROR(H28/G28,0)</f>
        <v>115.006243257835</v>
      </c>
      <c r="J28" s="24" t="n">
        <f aca="false">IFERROR(VLOOKUP(C28,DB_Impianti!C:H,6,0),0)</f>
        <v>-0.2</v>
      </c>
      <c r="K28" s="104" t="n">
        <v>6.8881054451698</v>
      </c>
    </row>
    <row r="29" customFormat="false" ht="16.5" hidden="false" customHeight="true" outlineLevel="0" collapsed="false">
      <c r="B29" s="101" t="s">
        <v>477</v>
      </c>
      <c r="C29" s="73" t="s">
        <v>336</v>
      </c>
      <c r="D29" s="71" t="s">
        <v>334</v>
      </c>
      <c r="E29" s="97" t="s">
        <v>364</v>
      </c>
      <c r="F29" s="102" t="n">
        <f aca="false">IFERROR(SUMIFS(Fonte_Dati!E:E,Fonte_Dati!D:D,C29)/1000,0)</f>
        <v>9096.22360722042</v>
      </c>
      <c r="G29" s="102" t="n">
        <f aca="false">IFERROR(SUMIFS(Fonte_Dati!F:F,Fonte_Dati!D:D,C29)/1000,0)</f>
        <v>9096.23162365926</v>
      </c>
      <c r="H29" s="43" t="n">
        <f aca="false">IFERROR(SUMIFS(Fonte_Dati!I:I,Fonte_Dati!D:D,C29),0)</f>
        <v>1040798.08590084</v>
      </c>
      <c r="I29" s="27" t="n">
        <f aca="false">IFERROR(H29/G29,0)</f>
        <v>114.420798519876</v>
      </c>
      <c r="J29" s="27" t="n">
        <f aca="false">IFERROR(VLOOKUP(C29,DB_Impianti!C:H,6,0),0)</f>
        <v>-1.36</v>
      </c>
      <c r="K29" s="104" t="n">
        <v>6.30266070721167</v>
      </c>
    </row>
    <row r="30" customFormat="false" ht="16.5" hidden="false" customHeight="true" outlineLevel="0" collapsed="false">
      <c r="B30" s="103" t="s">
        <v>478</v>
      </c>
      <c r="C30" s="70" t="s">
        <v>335</v>
      </c>
      <c r="D30" s="71" t="s">
        <v>334</v>
      </c>
      <c r="E30" s="93" t="s">
        <v>364</v>
      </c>
      <c r="F30" s="100" t="n">
        <f aca="false">IFERROR(SUMIFS(Fonte_Dati!E:E,Fonte_Dati!D:D,C30)/1000,0)</f>
        <v>3945.05626667521</v>
      </c>
      <c r="G30" s="100" t="n">
        <f aca="false">IFERROR(SUMIFS(Fonte_Dati!F:F,Fonte_Dati!D:D,C30)/1000,0)</f>
        <v>3945.07749451136</v>
      </c>
      <c r="H30" s="40" t="n">
        <f aca="false">IFERROR(SUMIFS(Fonte_Dati!I:I,Fonte_Dati!D:D,C30),0)</f>
        <v>444266.497726125</v>
      </c>
      <c r="I30" s="24" t="n">
        <f aca="false">IFERROR(H30/G30,0)</f>
        <v>112.612869669662</v>
      </c>
      <c r="J30" s="24" t="n">
        <f aca="false">IFERROR(VLOOKUP(C30,DB_Impianti!C:H,6,0),0)</f>
        <v>-1.36</v>
      </c>
      <c r="K30" s="104" t="n">
        <v>4.49473185699746</v>
      </c>
    </row>
    <row r="31" customFormat="false" ht="16.5" hidden="false" customHeight="true" outlineLevel="0" collapsed="false">
      <c r="B31" s="38" t="s">
        <v>479</v>
      </c>
      <c r="C31" s="73" t="s">
        <v>333</v>
      </c>
      <c r="D31" s="71" t="s">
        <v>334</v>
      </c>
      <c r="E31" s="97" t="s">
        <v>368</v>
      </c>
      <c r="F31" s="102" t="n">
        <f aca="false">IFERROR(SUMIFS(Fonte_Dati!E:E,Fonte_Dati!D:D,C31)/1000,0)</f>
        <v>8107.31482333447</v>
      </c>
      <c r="G31" s="102" t="n">
        <f aca="false">IFERROR(SUMIFS(Fonte_Dati!F:F,Fonte_Dati!D:D,C31)/1000,0)</f>
        <v>8107.31482333447</v>
      </c>
      <c r="H31" s="43" t="n">
        <f aca="false">IFERROR(SUMIFS(Fonte_Dati!I:I,Fonte_Dati!D:D,C31),0)</f>
        <v>906810.800677789</v>
      </c>
      <c r="I31" s="27" t="n">
        <f aca="false">IFERROR(H31/G31,0)</f>
        <v>111.85094207367</v>
      </c>
      <c r="J31" s="27" t="n">
        <f aca="false">IFERROR(VLOOKUP(C31,DB_Impianti!C:H,6,0),0)</f>
        <v>-1.86</v>
      </c>
      <c r="K31" s="104" t="n">
        <v>3.73280426100516</v>
      </c>
    </row>
    <row r="32" customFormat="false" ht="16.5" hidden="false" customHeight="true" outlineLevel="0" collapsed="false">
      <c r="B32" s="38" t="s">
        <v>480</v>
      </c>
      <c r="C32" s="70" t="s">
        <v>331</v>
      </c>
      <c r="D32" s="75" t="s">
        <v>320</v>
      </c>
      <c r="E32" s="93" t="s">
        <v>364</v>
      </c>
      <c r="F32" s="100" t="n">
        <f aca="false">IFERROR(SUMIFS(Fonte_Dati!E:E,Fonte_Dati!D:D,C32)/1000,0)</f>
        <v>787.129200000003</v>
      </c>
      <c r="G32" s="100" t="n">
        <f aca="false">IFERROR(SUMIFS(Fonte_Dati!F:F,Fonte_Dati!D:D,C32)/1000,0)</f>
        <v>805.233171600002</v>
      </c>
      <c r="H32" s="40" t="n">
        <f aca="false">IFERROR(SUMIFS(Fonte_Dati!I:I,Fonte_Dati!D:D,C32),0)</f>
        <v>77519.6848316969</v>
      </c>
      <c r="I32" s="24" t="n">
        <f aca="false">IFERROR(H32/G32,0)</f>
        <v>96.269860166919</v>
      </c>
      <c r="J32" s="24" t="n">
        <f aca="false">IFERROR(VLOOKUP(C32,DB_Impianti!C:H,6,0),0)</f>
        <v>-0.2</v>
      </c>
      <c r="K32" s="105" t="n">
        <v>-11.8482776457459</v>
      </c>
    </row>
    <row r="33" customFormat="false" ht="16.5" hidden="false" customHeight="true" outlineLevel="0" collapsed="false">
      <c r="B33" s="38" t="s">
        <v>481</v>
      </c>
      <c r="C33" s="73" t="s">
        <v>322</v>
      </c>
      <c r="D33" s="75" t="s">
        <v>320</v>
      </c>
      <c r="E33" s="97" t="s">
        <v>371</v>
      </c>
      <c r="F33" s="102" t="n">
        <f aca="false">IFERROR(SUMIFS(Fonte_Dati!E:E,Fonte_Dati!D:D,C33)/1000,0)</f>
        <v>1503.9636</v>
      </c>
      <c r="G33" s="102" t="n">
        <f aca="false">IFERROR(SUMIFS(Fonte_Dati!F:F,Fonte_Dati!D:D,C33)/1000,0)</f>
        <v>1538.5547628</v>
      </c>
      <c r="H33" s="43" t="n">
        <f aca="false">IFERROR(SUMIFS(Fonte_Dati!I:I,Fonte_Dati!D:D,C33),0)</f>
        <v>148048.999056861</v>
      </c>
      <c r="I33" s="27" t="n">
        <f aca="false">IFERROR(H33/G33,0)</f>
        <v>96.2260184924635</v>
      </c>
      <c r="J33" s="27" t="n">
        <f aca="false">IFERROR(VLOOKUP(C33,DB_Impianti!C:H,6,0),0)</f>
        <v>-0.2</v>
      </c>
      <c r="K33" s="105" t="n">
        <v>-11.8921193202013</v>
      </c>
    </row>
    <row r="34" customFormat="false" ht="16.5" hidden="false" customHeight="true" outlineLevel="0" collapsed="false">
      <c r="B34" s="38" t="s">
        <v>482</v>
      </c>
      <c r="C34" s="70" t="s">
        <v>329</v>
      </c>
      <c r="D34" s="75" t="s">
        <v>320</v>
      </c>
      <c r="E34" s="93" t="s">
        <v>364</v>
      </c>
      <c r="F34" s="100" t="n">
        <f aca="false">IFERROR(SUMIFS(Fonte_Dati!E:E,Fonte_Dati!D:D,C34)/1000,0)</f>
        <v>476.966079999999</v>
      </c>
      <c r="G34" s="100" t="n">
        <f aca="false">IFERROR(SUMIFS(Fonte_Dati!F:F,Fonte_Dati!D:D,C34)/1000,0)</f>
        <v>487.936299839997</v>
      </c>
      <c r="H34" s="40" t="n">
        <f aca="false">IFERROR(SUMIFS(Fonte_Dati!I:I,Fonte_Dati!D:D,C34),0)</f>
        <v>46480.2054476367</v>
      </c>
      <c r="I34" s="24" t="n">
        <f aca="false">IFERROR(H34/G34,0)</f>
        <v>95.2587570608671</v>
      </c>
      <c r="J34" s="24" t="n">
        <f aca="false">IFERROR(VLOOKUP(C34,DB_Impianti!C:H,6,0),0)</f>
        <v>-0.2</v>
      </c>
      <c r="K34" s="105" t="n">
        <v>-12.8593807517977</v>
      </c>
    </row>
    <row r="35" customFormat="false" ht="16.5" hidden="false" customHeight="true" outlineLevel="0" collapsed="false">
      <c r="B35" s="38" t="s">
        <v>483</v>
      </c>
      <c r="C35" s="73" t="s">
        <v>330</v>
      </c>
      <c r="D35" s="75" t="s">
        <v>320</v>
      </c>
      <c r="E35" s="97" t="s">
        <v>364</v>
      </c>
      <c r="F35" s="102" t="n">
        <f aca="false">IFERROR(SUMIFS(Fonte_Dati!E:E,Fonte_Dati!D:D,C35)/1000,0)</f>
        <v>801.507599999995</v>
      </c>
      <c r="G35" s="102" t="n">
        <f aca="false">IFERROR(SUMIFS(Fonte_Dati!F:F,Fonte_Dati!D:D,C35)/1000,0)</f>
        <v>798.301569599996</v>
      </c>
      <c r="H35" s="43" t="n">
        <f aca="false">IFERROR(SUMIFS(Fonte_Dati!I:I,Fonte_Dati!D:D,C35),0)</f>
        <v>75964.7754376961</v>
      </c>
      <c r="I35" s="27" t="n">
        <f aca="false">IFERROR(H35/G35,0)</f>
        <v>95.1579933329703</v>
      </c>
      <c r="J35" s="27" t="n">
        <f aca="false">IFERROR(VLOOKUP(C35,DB_Impianti!C:H,6,0),0)</f>
        <v>-0.2</v>
      </c>
      <c r="K35" s="105" t="n">
        <v>-12.9601444796945</v>
      </c>
    </row>
    <row r="36" customFormat="false" ht="16.5" hidden="false" customHeight="true" outlineLevel="0" collapsed="false">
      <c r="B36" s="38" t="s">
        <v>484</v>
      </c>
      <c r="C36" s="70" t="s">
        <v>328</v>
      </c>
      <c r="D36" s="75" t="s">
        <v>320</v>
      </c>
      <c r="E36" s="93" t="s">
        <v>371</v>
      </c>
      <c r="F36" s="100" t="n">
        <f aca="false">IFERROR(SUMIFS(Fonte_Dati!E:E,Fonte_Dati!D:D,C36)/1000,0)</f>
        <v>521.4165</v>
      </c>
      <c r="G36" s="100" t="n">
        <f aca="false">IFERROR(SUMIFS(Fonte_Dati!F:F,Fonte_Dati!D:D,C36)/1000,0)</f>
        <v>533.4090795</v>
      </c>
      <c r="H36" s="40" t="n">
        <f aca="false">IFERROR(SUMIFS(Fonte_Dati!I:I,Fonte_Dati!D:D,C36),0)</f>
        <v>50752.1052524564</v>
      </c>
      <c r="I36" s="24" t="n">
        <f aca="false">IFERROR(H36/G36,0)</f>
        <v>95.1466842297281</v>
      </c>
      <c r="J36" s="24" t="n">
        <f aca="false">IFERROR(VLOOKUP(C36,DB_Impianti!C:H,6,0),0)</f>
        <v>-0.2</v>
      </c>
      <c r="K36" s="105" t="n">
        <v>-12.9714535829368</v>
      </c>
    </row>
    <row r="37" customFormat="false" ht="16.5" hidden="false" customHeight="true" outlineLevel="0" collapsed="false">
      <c r="B37" s="38" t="s">
        <v>485</v>
      </c>
      <c r="C37" s="73" t="s">
        <v>323</v>
      </c>
      <c r="D37" s="75" t="s">
        <v>320</v>
      </c>
      <c r="E37" s="97" t="s">
        <v>371</v>
      </c>
      <c r="F37" s="102" t="n">
        <f aca="false">IFERROR(SUMIFS(Fonte_Dati!E:E,Fonte_Dati!D:D,C37)/1000,0)</f>
        <v>1544.21248</v>
      </c>
      <c r="G37" s="102" t="n">
        <f aca="false">IFERROR(SUMIFS(Fonte_Dati!F:F,Fonte_Dati!D:D,C37)/1000,0)</f>
        <v>1579.72936704</v>
      </c>
      <c r="H37" s="43" t="n">
        <f aca="false">IFERROR(SUMIFS(Fonte_Dati!I:I,Fonte_Dati!D:D,C37),0)</f>
        <v>150090.728739646</v>
      </c>
      <c r="I37" s="27" t="n">
        <f aca="false">IFERROR(H37/G37,0)</f>
        <v>95.0104061310683</v>
      </c>
      <c r="J37" s="27" t="n">
        <f aca="false">IFERROR(VLOOKUP(C37,DB_Impianti!C:H,6,0),0)</f>
        <v>-0.2</v>
      </c>
      <c r="K37" s="105" t="n">
        <v>-13.1077316815965</v>
      </c>
    </row>
    <row r="38" customFormat="false" ht="16.5" hidden="false" customHeight="true" outlineLevel="0" collapsed="false">
      <c r="B38" s="38" t="s">
        <v>486</v>
      </c>
      <c r="C38" s="70" t="s">
        <v>326</v>
      </c>
      <c r="D38" s="75" t="s">
        <v>320</v>
      </c>
      <c r="E38" s="93" t="s">
        <v>371</v>
      </c>
      <c r="F38" s="100" t="n">
        <f aca="false">IFERROR(SUMIFS(Fonte_Dati!E:E,Fonte_Dati!D:D,C38)/1000,0)</f>
        <v>78.5165400000001</v>
      </c>
      <c r="G38" s="100" t="n">
        <f aca="false">IFERROR(SUMIFS(Fonte_Dati!F:F,Fonte_Dati!D:D,C38)/1000,0)</f>
        <v>78.2024738400001</v>
      </c>
      <c r="H38" s="40" t="n">
        <f aca="false">IFERROR(SUMIFS(Fonte_Dati!I:I,Fonte_Dati!D:D,C38),0)</f>
        <v>7386.85851696112</v>
      </c>
      <c r="I38" s="24" t="n">
        <f aca="false">IFERROR(H38/G38,0)</f>
        <v>94.4581181929667</v>
      </c>
      <c r="J38" s="24" t="n">
        <f aca="false">IFERROR(VLOOKUP(C38,DB_Impianti!C:H,6,0),0)</f>
        <v>-0.2</v>
      </c>
      <c r="K38" s="105" t="n">
        <v>-13.6600196196981</v>
      </c>
    </row>
    <row r="39" customFormat="false" ht="16.5" hidden="false" customHeight="true" outlineLevel="0" collapsed="false">
      <c r="B39" s="38" t="s">
        <v>487</v>
      </c>
      <c r="C39" s="73" t="s">
        <v>332</v>
      </c>
      <c r="D39" s="75" t="s">
        <v>320</v>
      </c>
      <c r="E39" s="97" t="s">
        <v>364</v>
      </c>
      <c r="F39" s="102" t="n">
        <f aca="false">IFERROR(SUMIFS(Fonte_Dati!E:E,Fonte_Dati!D:D,C39)/1000,0)</f>
        <v>19.1662200000003</v>
      </c>
      <c r="G39" s="102" t="n">
        <f aca="false">IFERROR(SUMIFS(Fonte_Dati!F:F,Fonte_Dati!D:D,C39)/1000,0)</f>
        <v>19.6070430600002</v>
      </c>
      <c r="H39" s="43" t="n">
        <f aca="false">IFERROR(SUMIFS(Fonte_Dati!I:I,Fonte_Dati!D:D,C39),0)</f>
        <v>1825.06668313435</v>
      </c>
      <c r="I39" s="27" t="n">
        <f aca="false">IFERROR(H39/G39,0)</f>
        <v>93.0821989603123</v>
      </c>
      <c r="J39" s="27" t="n">
        <f aca="false">IFERROR(VLOOKUP(C39,DB_Impianti!C:H,6,0),0)</f>
        <v>-0.2</v>
      </c>
      <c r="K39" s="105" t="n">
        <v>-15.0359388523526</v>
      </c>
    </row>
    <row r="40" customFormat="false" ht="16.5" hidden="false" customHeight="true" outlineLevel="0" collapsed="false">
      <c r="B40" s="38" t="s">
        <v>488</v>
      </c>
      <c r="C40" s="70" t="s">
        <v>321</v>
      </c>
      <c r="D40" s="75" t="s">
        <v>320</v>
      </c>
      <c r="E40" s="93" t="s">
        <v>364</v>
      </c>
      <c r="F40" s="100" t="n">
        <f aca="false">IFERROR(SUMIFS(Fonte_Dati!E:E,Fonte_Dati!D:D,C40)/1000,0)</f>
        <v>70.7019199999996</v>
      </c>
      <c r="G40" s="100" t="n">
        <f aca="false">IFERROR(SUMIFS(Fonte_Dati!F:F,Fonte_Dati!D:D,C40)/1000,0)</f>
        <v>72.3280641599994</v>
      </c>
      <c r="H40" s="40" t="n">
        <f aca="false">IFERROR(SUMIFS(Fonte_Dati!I:I,Fonte_Dati!D:D,C40),0)</f>
        <v>6622.33845347049</v>
      </c>
      <c r="I40" s="24" t="n">
        <f aca="false">IFERROR(H40/G40,0)</f>
        <v>91.5597359113744</v>
      </c>
      <c r="J40" s="24" t="n">
        <f aca="false">IFERROR(VLOOKUP(C40,DB_Impianti!C:H,6,0),0)</f>
        <v>-0.2</v>
      </c>
      <c r="K40" s="105" t="n">
        <v>-16.5584019012905</v>
      </c>
    </row>
    <row r="41" customFormat="false" ht="16.5" hidden="false" customHeight="true" outlineLevel="0" collapsed="false">
      <c r="B41" s="38" t="s">
        <v>489</v>
      </c>
      <c r="C41" s="73" t="s">
        <v>324</v>
      </c>
      <c r="D41" s="75" t="s">
        <v>320</v>
      </c>
      <c r="E41" s="97" t="s">
        <v>371</v>
      </c>
      <c r="F41" s="102" t="n">
        <f aca="false">IFERROR(SUMIFS(Fonte_Dati!E:E,Fonte_Dati!D:D,C41)/1000,0)</f>
        <v>326.175825</v>
      </c>
      <c r="G41" s="102" t="n">
        <f aca="false">IFERROR(SUMIFS(Fonte_Dati!F:F,Fonte_Dati!D:D,C41)/1000,0)</f>
        <v>324.8711217</v>
      </c>
      <c r="H41" s="43" t="n">
        <f aca="false">IFERROR(SUMIFS(Fonte_Dati!I:I,Fonte_Dati!D:D,C41),0)</f>
        <v>29669.3024449004</v>
      </c>
      <c r="I41" s="27" t="n">
        <f aca="false">IFERROR(H41/G41,0)</f>
        <v>91.3263767171596</v>
      </c>
      <c r="J41" s="27" t="n">
        <f aca="false">IFERROR(VLOOKUP(C41,DB_Impianti!C:H,6,0),0)</f>
        <v>-0.2</v>
      </c>
      <c r="K41" s="105" t="n">
        <v>-16.7917610955055</v>
      </c>
    </row>
    <row r="42" customFormat="false" ht="16.5" hidden="false" customHeight="true" outlineLevel="0" collapsed="false">
      <c r="B42" s="38" t="s">
        <v>490</v>
      </c>
      <c r="C42" s="70" t="s">
        <v>325</v>
      </c>
      <c r="D42" s="75" t="s">
        <v>320</v>
      </c>
      <c r="E42" s="93" t="s">
        <v>364</v>
      </c>
      <c r="F42" s="100" t="n">
        <f aca="false">IFERROR(SUMIFS(Fonte_Dati!E:E,Fonte_Dati!D:D,C42)/1000,0)</f>
        <v>320.477040000006</v>
      </c>
      <c r="G42" s="100" t="n">
        <f aca="false">IFERROR(SUMIFS(Fonte_Dati!F:F,Fonte_Dati!D:D,C42)/1000,0)</f>
        <v>319.195131840006</v>
      </c>
      <c r="H42" s="40" t="n">
        <f aca="false">IFERROR(SUMIFS(Fonte_Dati!I:I,Fonte_Dati!D:D,C42),0)</f>
        <v>28983.418961309</v>
      </c>
      <c r="I42" s="24" t="n">
        <f aca="false">IFERROR(H42/G42,0)</f>
        <v>90.8015695422219</v>
      </c>
      <c r="J42" s="24" t="n">
        <f aca="false">IFERROR(VLOOKUP(C42,DB_Impianti!C:H,6,0),0)</f>
        <v>-0.2</v>
      </c>
      <c r="K42" s="105" t="n">
        <v>-17.3165682704429</v>
      </c>
    </row>
    <row r="43" customFormat="false" ht="16.5" hidden="false" customHeight="true" outlineLevel="0" collapsed="false">
      <c r="B43" s="38" t="s">
        <v>491</v>
      </c>
      <c r="C43" s="73" t="s">
        <v>319</v>
      </c>
      <c r="D43" s="75" t="s">
        <v>320</v>
      </c>
      <c r="E43" s="97" t="s">
        <v>364</v>
      </c>
      <c r="F43" s="102" t="n">
        <f aca="false">IFERROR(SUMIFS(Fonte_Dati!E:E,Fonte_Dati!D:D,C43)/1000,0)</f>
        <v>1146.88848000001</v>
      </c>
      <c r="G43" s="102" t="n">
        <f aca="false">IFERROR(SUMIFS(Fonte_Dati!F:F,Fonte_Dati!D:D,C43)/1000,0)</f>
        <v>1142.30092608001</v>
      </c>
      <c r="H43" s="43" t="n">
        <f aca="false">IFERROR(SUMIFS(Fonte_Dati!I:I,Fonte_Dati!D:D,C43),0)</f>
        <v>103282.138342492</v>
      </c>
      <c r="I43" s="27" t="n">
        <f aca="false">IFERROR(H43/G43,0)</f>
        <v>90.4158755232055</v>
      </c>
      <c r="J43" s="27" t="n">
        <f aca="false">IFERROR(VLOOKUP(C43,DB_Impianti!C:H,6,0),0)</f>
        <v>-0.2</v>
      </c>
      <c r="K43" s="105" t="n">
        <v>-17.7022622894592</v>
      </c>
    </row>
  </sheetData>
  <mergeCells count="4">
    <mergeCell ref="B1:K3"/>
    <mergeCell ref="B4:K4"/>
    <mergeCell ref="B6:K6"/>
    <mergeCell ref="B26:K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B1:W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"/>
    <col collapsed="false" customWidth="true" hidden="false" outlineLevel="0" max="3" min="3" style="1" width="22"/>
    <col collapsed="false" customWidth="true" hidden="false" outlineLevel="0" max="4" min="4" style="1" width="13"/>
    <col collapsed="false" customWidth="true" hidden="false" outlineLevel="0" max="9" min="5" style="1" width="14"/>
    <col collapsed="false" customWidth="true" hidden="false" outlineLevel="0" max="11" min="10" style="1" width="9"/>
    <col collapsed="false" customWidth="true" hidden="false" outlineLevel="0" max="22" min="12" style="1" width="13"/>
  </cols>
  <sheetData>
    <row r="1" customFormat="false" ht="15" hidden="false" customHeight="true" outlineLevel="0" collapsed="false">
      <c r="B1" s="17" t="s">
        <v>494</v>
      </c>
      <c r="C1" s="17"/>
      <c r="D1" s="17"/>
      <c r="E1" s="17"/>
      <c r="F1" s="17"/>
      <c r="G1" s="17"/>
      <c r="H1" s="17"/>
      <c r="I1" s="17"/>
      <c r="J1" s="17"/>
      <c r="K1" s="17"/>
    </row>
    <row r="2" customFormat="false" ht="15" hidden="false" customHeight="true" outlineLevel="0" collapsed="false">
      <c r="B2" s="17"/>
      <c r="C2" s="17"/>
      <c r="D2" s="17"/>
      <c r="E2" s="17"/>
      <c r="F2" s="17"/>
      <c r="G2" s="17"/>
      <c r="H2" s="17"/>
      <c r="I2" s="17"/>
      <c r="J2" s="17"/>
      <c r="K2" s="17"/>
    </row>
    <row r="3" customFormat="false" ht="15" hidden="false" customHeight="true" outlineLevel="0" collapsed="false">
      <c r="B3" s="17"/>
      <c r="C3" s="17"/>
      <c r="D3" s="17"/>
      <c r="E3" s="17"/>
      <c r="F3" s="17"/>
      <c r="G3" s="17"/>
      <c r="H3" s="17"/>
      <c r="I3" s="17"/>
      <c r="J3" s="17"/>
      <c r="K3" s="17"/>
    </row>
    <row r="4" customFormat="false" ht="15" hidden="false" customHeight="true" outlineLevel="0" collapsed="false">
      <c r="B4" s="18" t="s">
        <v>495</v>
      </c>
      <c r="C4" s="18"/>
      <c r="D4" s="18"/>
      <c r="E4" s="18"/>
      <c r="F4" s="18"/>
      <c r="G4" s="18"/>
      <c r="H4" s="18"/>
      <c r="I4" s="18"/>
      <c r="J4" s="18"/>
      <c r="K4" s="18"/>
    </row>
    <row r="5" customFormat="false" ht="15" hidden="false" customHeight="true" outlineLevel="0" collapsed="false">
      <c r="B5" s="106" t="s">
        <v>496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customFormat="false" ht="15" hidden="false" customHeight="true" outlineLevel="0" collapsed="false">
      <c r="B6" s="30" t="s">
        <v>497</v>
      </c>
    </row>
    <row r="7" customFormat="false" ht="37.5" hidden="false" customHeight="true" outlineLevel="0" collapsed="false">
      <c r="B7" s="20" t="s">
        <v>345</v>
      </c>
      <c r="C7" s="20" t="s">
        <v>310</v>
      </c>
      <c r="D7" s="20" t="s">
        <v>317</v>
      </c>
      <c r="E7" s="20" t="s">
        <v>429</v>
      </c>
      <c r="F7" s="20" t="s">
        <v>463</v>
      </c>
      <c r="G7" s="20" t="s">
        <v>430</v>
      </c>
      <c r="H7" s="20" t="s">
        <v>361</v>
      </c>
      <c r="I7" s="20" t="s">
        <v>498</v>
      </c>
      <c r="J7" s="20" t="s">
        <v>499</v>
      </c>
      <c r="K7" s="20" t="s">
        <v>316</v>
      </c>
      <c r="L7" s="61" t="s">
        <v>500</v>
      </c>
      <c r="M7" s="37" t="s">
        <v>501</v>
      </c>
      <c r="N7" s="20" t="s">
        <v>502</v>
      </c>
      <c r="O7" s="36" t="s">
        <v>503</v>
      </c>
    </row>
    <row r="8" customFormat="false" ht="16.5" hidden="false" customHeight="true" outlineLevel="0" collapsed="false">
      <c r="B8" s="38" t="n">
        <v>1</v>
      </c>
      <c r="C8" s="70" t="s">
        <v>336</v>
      </c>
      <c r="D8" s="71" t="s">
        <v>334</v>
      </c>
      <c r="E8" s="24" t="n">
        <f aca="false">IFERROR(SUMIFS(Fonte_Dati!G:G,Fonte_Dati!D:D,C8),0)</f>
        <v>1042617.33222558</v>
      </c>
      <c r="F8" s="24" t="n">
        <f aca="false">IFERROR(SUMIFS(Fonte_Dati!H:H,Fonte_Dati!D:D,C8),0)</f>
        <v>-1819.24632473185</v>
      </c>
      <c r="G8" s="40" t="n">
        <f aca="false">IFERROR(SUMIFS(Fonte_Dati!I:I,Fonte_Dati!D:D,C8),0)</f>
        <v>1040798.08590084</v>
      </c>
      <c r="H8" s="24" t="n">
        <f aca="false">IFERROR(G8*0.08,0)</f>
        <v>83263.8468720675</v>
      </c>
      <c r="I8" s="40" t="n">
        <f aca="false">IFERROR(G8-H8,0)</f>
        <v>957534.239028776</v>
      </c>
      <c r="J8" s="42" t="n">
        <f aca="false">IFERROR(I8/G8,0)</f>
        <v>0.92</v>
      </c>
      <c r="K8" s="24" t="n">
        <f aca="false">IFERROR(SUMIFS(Fonte_Dati!I:I,Fonte_Dati!D:D,C8)/SUMIFS(Fonte_Dati!F:F,Fonte_Dati!D:D,C8)*1000,0)</f>
        <v>114.420798519876</v>
      </c>
      <c r="L8" s="107" t="n">
        <f aca="false">IFERROR(SUMIF('💹 Incentivi'!D8:D23,"*Narbone*",'💹 Incentivi'!R8:R23),0)</f>
        <v>1146908.82</v>
      </c>
      <c r="M8" s="108" t="n">
        <f aca="false">IFERROR(SUMIF('💹 Incentivi'!D28:D43,"*Narbone*",'💹 Incentivi'!R28:R43),0)</f>
        <v>418280.78807</v>
      </c>
      <c r="N8" s="40" t="n">
        <f aca="false">IFERROR(I8+M8,"")</f>
        <v>1375815.02709878</v>
      </c>
      <c r="O8" s="42" t="n">
        <f aca="false">IFERROR(N8/(G8+M8),"")</f>
        <v>0.942933964463849</v>
      </c>
    </row>
    <row r="9" customFormat="false" ht="16.5" hidden="false" customHeight="true" outlineLevel="0" collapsed="false">
      <c r="B9" s="38" t="n">
        <v>2</v>
      </c>
      <c r="C9" s="73" t="s">
        <v>333</v>
      </c>
      <c r="D9" s="71" t="s">
        <v>334</v>
      </c>
      <c r="E9" s="27" t="n">
        <f aca="false">IFERROR(SUMIFS(Fonte_Dati!G:G,Fonte_Dati!D:D,C9),0)</f>
        <v>908432.263642457</v>
      </c>
      <c r="F9" s="27" t="n">
        <f aca="false">IFERROR(SUMIFS(Fonte_Dati!H:H,Fonte_Dati!D:D,C9),0)</f>
        <v>-1621.46296466689</v>
      </c>
      <c r="G9" s="43" t="n">
        <f aca="false">IFERROR(SUMIFS(Fonte_Dati!I:I,Fonte_Dati!D:D,C9),0)</f>
        <v>906810.800677789</v>
      </c>
      <c r="H9" s="27" t="n">
        <f aca="false">IFERROR(G9*0.08,0)</f>
        <v>72544.8640542231</v>
      </c>
      <c r="I9" s="43" t="n">
        <f aca="false">IFERROR(G9-H9,0)</f>
        <v>834265.936623566</v>
      </c>
      <c r="J9" s="45" t="n">
        <f aca="false">IFERROR(I9/G9,0)</f>
        <v>0.92</v>
      </c>
      <c r="K9" s="27" t="n">
        <f aca="false">IFERROR(SUMIFS(Fonte_Dati!I:I,Fonte_Dati!D:D,C9)/SUMIFS(Fonte_Dati!F:F,Fonte_Dati!D:D,C9)*1000,0)</f>
        <v>111.85094207367</v>
      </c>
      <c r="L9" s="107" t="n">
        <f aca="false">IFERROR(SUMIF('💹 Incentivi'!D8:D23,"*Durr*",'💹 Incentivi'!R8:R23),0)</f>
        <v>0</v>
      </c>
      <c r="M9" s="108" t="n">
        <f aca="false">IFERROR(SUMIF('💹 Incentivi'!D28:D43,"*Durr*",'💹 Incentivi'!R28:R43),0)</f>
        <v>0</v>
      </c>
      <c r="N9" s="43" t="n">
        <f aca="false">IFERROR(I9+M9,"")</f>
        <v>834265.936623566</v>
      </c>
      <c r="O9" s="45" t="n">
        <f aca="false">IFERROR(N9/(G9+M9),"")</f>
        <v>0.92</v>
      </c>
    </row>
    <row r="10" customFormat="false" ht="16.5" hidden="false" customHeight="true" outlineLevel="0" collapsed="false">
      <c r="B10" s="38" t="n">
        <v>3</v>
      </c>
      <c r="C10" s="70" t="s">
        <v>335</v>
      </c>
      <c r="D10" s="71" t="s">
        <v>334</v>
      </c>
      <c r="E10" s="24" t="n">
        <f aca="false">IFERROR(SUMIFS(Fonte_Dati!G:G,Fonte_Dati!D:D,C10),0)</f>
        <v>445055.513225028</v>
      </c>
      <c r="F10" s="24" t="n">
        <f aca="false">IFERROR(SUMIFS(Fonte_Dati!H:H,Fonte_Dati!D:D,C10),0)</f>
        <v>-789.015498902271</v>
      </c>
      <c r="G10" s="40" t="n">
        <f aca="false">IFERROR(SUMIFS(Fonte_Dati!I:I,Fonte_Dati!D:D,C10),0)</f>
        <v>444266.497726125</v>
      </c>
      <c r="H10" s="24" t="n">
        <f aca="false">IFERROR(G10*0.08,0)</f>
        <v>35541.31981809</v>
      </c>
      <c r="I10" s="40" t="n">
        <f aca="false">IFERROR(G10-H10,0)</f>
        <v>408725.177908035</v>
      </c>
      <c r="J10" s="42" t="n">
        <f aca="false">IFERROR(I10/G10,0)</f>
        <v>0.92</v>
      </c>
      <c r="K10" s="24" t="n">
        <f aca="false">IFERROR(SUMIFS(Fonte_Dati!I:I,Fonte_Dati!D:D,C10)/SUMIFS(Fonte_Dati!F:F,Fonte_Dati!D:D,C10)*1000,0)</f>
        <v>112.612869669662</v>
      </c>
      <c r="L10" s="107" t="n">
        <f aca="false">IFERROR(SUMIF('💹 Incentivi'!D8:D23,"*Malvizzo*",'💹 Incentivi'!R8:R23),0)</f>
        <v>243603.03</v>
      </c>
      <c r="M10" s="108" t="n">
        <f aca="false">IFERROR(SUMIF('💹 Incentivi'!D28:D43,"*Malvizzo*",'💹 Incentivi'!R28:R43),0)</f>
        <v>82537.585</v>
      </c>
      <c r="N10" s="40" t="n">
        <f aca="false">IFERROR(I10+M10,"")</f>
        <v>491262.762908035</v>
      </c>
      <c r="O10" s="42" t="n">
        <f aca="false">IFERROR(N10/(G10+M10),"")</f>
        <v>0.93253408433327</v>
      </c>
    </row>
    <row r="11" customFormat="false" ht="16.5" hidden="false" customHeight="true" outlineLevel="0" collapsed="false">
      <c r="B11" s="38" t="n">
        <v>4</v>
      </c>
      <c r="C11" s="73" t="s">
        <v>323</v>
      </c>
      <c r="D11" s="75" t="s">
        <v>320</v>
      </c>
      <c r="E11" s="27" t="n">
        <f aca="false">IFERROR(SUMIFS(Fonte_Dati!G:G,Fonte_Dati!D:D,C11),0)</f>
        <v>150406.674613054</v>
      </c>
      <c r="F11" s="27" t="n">
        <f aca="false">IFERROR(SUMIFS(Fonte_Dati!H:H,Fonte_Dati!D:D,C11),0)</f>
        <v>-315.945873408</v>
      </c>
      <c r="G11" s="43" t="n">
        <f aca="false">IFERROR(SUMIFS(Fonte_Dati!I:I,Fonte_Dati!D:D,C11),0)</f>
        <v>150090.728739646</v>
      </c>
      <c r="H11" s="27" t="n">
        <f aca="false">IFERROR(G11*0.08,0)</f>
        <v>12007.2582991717</v>
      </c>
      <c r="I11" s="43" t="n">
        <f aca="false">IFERROR(G11-H11,0)</f>
        <v>138083.470440474</v>
      </c>
      <c r="J11" s="45" t="n">
        <f aca="false">IFERROR(I11/G11,0)</f>
        <v>0.92</v>
      </c>
      <c r="K11" s="27" t="n">
        <f aca="false">IFERROR(SUMIFS(Fonte_Dati!I:I,Fonte_Dati!D:D,C11)/SUMIFS(Fonte_Dati!F:F,Fonte_Dati!D:D,C11)*1000,0)</f>
        <v>95.0104061310683</v>
      </c>
      <c r="L11" s="107" t="n">
        <f aca="false">IFERROR(SUMIF('💹 Incentivi'!D8:D23,"*Favara*",'💹 Incentivi'!R8:R23),0)</f>
        <v>0</v>
      </c>
      <c r="M11" s="108" t="n">
        <f aca="false">IFERROR(SUMIF('💹 Incentivi'!D28:D43,"*Favara*",'💹 Incentivi'!R28:R43),0)</f>
        <v>0</v>
      </c>
      <c r="N11" s="43" t="n">
        <f aca="false">IFERROR(I11+M11,"")</f>
        <v>138083.470440474</v>
      </c>
      <c r="O11" s="45" t="n">
        <f aca="false">IFERROR(N11/(G11+M11),"")</f>
        <v>0.92</v>
      </c>
    </row>
    <row r="12" customFormat="false" ht="16.5" hidden="false" customHeight="true" outlineLevel="0" collapsed="false">
      <c r="B12" s="38" t="n">
        <v>5</v>
      </c>
      <c r="C12" s="70" t="s">
        <v>322</v>
      </c>
      <c r="D12" s="75" t="s">
        <v>320</v>
      </c>
      <c r="E12" s="24" t="n">
        <f aca="false">IFERROR(SUMIFS(Fonte_Dati!G:G,Fonte_Dati!D:D,C12),0)</f>
        <v>148356.710009421</v>
      </c>
      <c r="F12" s="24" t="n">
        <f aca="false">IFERROR(SUMIFS(Fonte_Dati!H:H,Fonte_Dati!D:D,C12),0)</f>
        <v>-307.71095256</v>
      </c>
      <c r="G12" s="40" t="n">
        <f aca="false">IFERROR(SUMIFS(Fonte_Dati!I:I,Fonte_Dati!D:D,C12),0)</f>
        <v>148048.999056861</v>
      </c>
      <c r="H12" s="24" t="n">
        <f aca="false">IFERROR(G12*0.08,0)</f>
        <v>11843.9199245488</v>
      </c>
      <c r="I12" s="40" t="n">
        <f aca="false">IFERROR(G12-H12,0)</f>
        <v>136205.079132312</v>
      </c>
      <c r="J12" s="42" t="n">
        <f aca="false">IFERROR(I12/G12,0)</f>
        <v>0.92</v>
      </c>
      <c r="K12" s="24" t="n">
        <f aca="false">IFERROR(SUMIFS(Fonte_Dati!I:I,Fonte_Dati!D:D,C12)/SUMIFS(Fonte_Dati!F:F,Fonte_Dati!D:D,C12)*1000,0)</f>
        <v>96.2260184924635</v>
      </c>
      <c r="L12" s="107" t="n">
        <f aca="false">IFERROR(SUMIF('💹 Incentivi'!D8:D23,"*Fauma*",'💹 Incentivi'!R8:R23),0)</f>
        <v>0</v>
      </c>
      <c r="M12" s="108" t="n">
        <f aca="false">IFERROR(SUMIF('💹 Incentivi'!D28:D43,"*Fauma*",'💹 Incentivi'!R28:R43),0)</f>
        <v>0</v>
      </c>
      <c r="N12" s="40" t="n">
        <f aca="false">IFERROR(I12+M12,"")</f>
        <v>136205.079132312</v>
      </c>
      <c r="O12" s="42" t="n">
        <f aca="false">IFERROR(N12/(G12+M12),"")</f>
        <v>0.92</v>
      </c>
    </row>
    <row r="13" customFormat="false" ht="16.5" hidden="false" customHeight="true" outlineLevel="0" collapsed="false">
      <c r="B13" s="38" t="n">
        <v>6</v>
      </c>
      <c r="C13" s="73" t="s">
        <v>319</v>
      </c>
      <c r="D13" s="75" t="s">
        <v>320</v>
      </c>
      <c r="E13" s="27" t="n">
        <f aca="false">IFERROR(SUMIFS(Fonte_Dati!G:G,Fonte_Dati!D:D,C13),0)</f>
        <v>103510.598527708</v>
      </c>
      <c r="F13" s="27" t="n">
        <f aca="false">IFERROR(SUMIFS(Fonte_Dati!H:H,Fonte_Dati!D:D,C13),0)</f>
        <v>-228.460185216001</v>
      </c>
      <c r="G13" s="43" t="n">
        <f aca="false">IFERROR(SUMIFS(Fonte_Dati!I:I,Fonte_Dati!D:D,C13),0)</f>
        <v>103282.138342492</v>
      </c>
      <c r="H13" s="27" t="n">
        <f aca="false">IFERROR(G13*0.08,0)</f>
        <v>8262.57106739937</v>
      </c>
      <c r="I13" s="43" t="n">
        <f aca="false">IFERROR(G13-H13,0)</f>
        <v>95019.5672750927</v>
      </c>
      <c r="J13" s="45" t="n">
        <f aca="false">IFERROR(I13/G13,0)</f>
        <v>0.92</v>
      </c>
      <c r="K13" s="27" t="n">
        <f aca="false">IFERROR(SUMIFS(Fonte_Dati!I:I,Fonte_Dati!D:D,C13)/SUMIFS(Fonte_Dati!F:F,Fonte_Dati!D:D,C13)*1000,0)</f>
        <v>90.4158755232055</v>
      </c>
      <c r="L13" s="107" t="n">
        <f aca="false">IFERROR(SUMIF('💹 Incentivi'!D8:D23,"*Batia*",'💹 Incentivi'!R8:R23),0)</f>
        <v>328842.234</v>
      </c>
      <c r="M13" s="108" t="n">
        <f aca="false">IFERROR(SUMIF('💹 Incentivi'!D28:D43,"*Batia*",'💹 Incentivi'!R28:R43),0)</f>
        <v>139074.70325</v>
      </c>
      <c r="N13" s="43" t="n">
        <f aca="false">IFERROR(I13+M13,"")</f>
        <v>234094.270525093</v>
      </c>
      <c r="O13" s="45" t="n">
        <f aca="false">IFERROR(N13/(G13+M13),"")</f>
        <v>0.96590741563924</v>
      </c>
    </row>
    <row r="14" customFormat="false" ht="16.5" hidden="false" customHeight="true" outlineLevel="0" collapsed="false">
      <c r="B14" s="38" t="n">
        <v>7</v>
      </c>
      <c r="C14" s="70" t="s">
        <v>331</v>
      </c>
      <c r="D14" s="75" t="s">
        <v>320</v>
      </c>
      <c r="E14" s="24" t="n">
        <f aca="false">IFERROR(SUMIFS(Fonte_Dati!G:G,Fonte_Dati!D:D,C14),0)</f>
        <v>77680.7314660169</v>
      </c>
      <c r="F14" s="24" t="n">
        <f aca="false">IFERROR(SUMIFS(Fonte_Dati!H:H,Fonte_Dati!D:D,C14),0)</f>
        <v>-161.046634320001</v>
      </c>
      <c r="G14" s="40" t="n">
        <f aca="false">IFERROR(SUMIFS(Fonte_Dati!I:I,Fonte_Dati!D:D,C14),0)</f>
        <v>77519.6848316969</v>
      </c>
      <c r="H14" s="24" t="n">
        <f aca="false">IFERROR(G14*0.08,0)</f>
        <v>6201.57478653575</v>
      </c>
      <c r="I14" s="40" t="n">
        <f aca="false">IFERROR(G14-H14,0)</f>
        <v>71318.1100451612</v>
      </c>
      <c r="J14" s="42" t="n">
        <f aca="false">IFERROR(I14/G14,0)</f>
        <v>0.92</v>
      </c>
      <c r="K14" s="24" t="n">
        <f aca="false">IFERROR(SUMIFS(Fonte_Dati!I:I,Fonte_Dati!D:D,C14)/SUMIFS(Fonte_Dati!F:F,Fonte_Dati!D:D,C14)*1000,0)</f>
        <v>96.269860166919</v>
      </c>
      <c r="L14" s="107" t="n">
        <f aca="false">IFERROR(SUMIF('💹 Incentivi'!D8:D23,"*Muxaro*",'💹 Incentivi'!R8:R23),0)</f>
        <v>626391.108</v>
      </c>
      <c r="M14" s="108" t="n">
        <f aca="false">IFERROR(SUMIF('💹 Incentivi'!D28:D43,"*Muxaro*",'💹 Incentivi'!R28:R43),0)</f>
        <v>256900.4228</v>
      </c>
      <c r="N14" s="40" t="n">
        <f aca="false">IFERROR(I14+M14,"")</f>
        <v>328218.532845161</v>
      </c>
      <c r="O14" s="42" t="n">
        <f aca="false">IFERROR(N14/(G14+M14),"")</f>
        <v>0.981455735929116</v>
      </c>
    </row>
    <row r="15" customFormat="false" ht="16.5" hidden="false" customHeight="true" outlineLevel="0" collapsed="false">
      <c r="B15" s="38" t="n">
        <v>8</v>
      </c>
      <c r="C15" s="73" t="s">
        <v>330</v>
      </c>
      <c r="D15" s="75" t="s">
        <v>320</v>
      </c>
      <c r="E15" s="27" t="n">
        <f aca="false">IFERROR(SUMIFS(Fonte_Dati!G:G,Fonte_Dati!D:D,C15),0)</f>
        <v>76124.4357516161</v>
      </c>
      <c r="F15" s="27" t="n">
        <f aca="false">IFERROR(SUMIFS(Fonte_Dati!H:H,Fonte_Dati!D:D,C15),0)</f>
        <v>-159.660313919999</v>
      </c>
      <c r="G15" s="43" t="n">
        <f aca="false">IFERROR(SUMIFS(Fonte_Dati!I:I,Fonte_Dati!D:D,C15),0)</f>
        <v>75964.7754376961</v>
      </c>
      <c r="H15" s="27" t="n">
        <f aca="false">IFERROR(G15*0.08,0)</f>
        <v>6077.18203501569</v>
      </c>
      <c r="I15" s="43" t="n">
        <f aca="false">IFERROR(G15-H15,0)</f>
        <v>69887.5934026804</v>
      </c>
      <c r="J15" s="45" t="n">
        <f aca="false">IFERROR(I15/G15,0)</f>
        <v>0.92</v>
      </c>
      <c r="K15" s="27" t="n">
        <f aca="false">IFERROR(SUMIFS(Fonte_Dati!I:I,Fonte_Dati!D:D,C15)/SUMIFS(Fonte_Dati!F:F,Fonte_Dati!D:D,C15)*1000,0)</f>
        <v>95.1579933329703</v>
      </c>
      <c r="L15" s="107" t="n">
        <f aca="false">IFERROR(SUMIF('💹 Incentivi'!D8:D23,"*Narbone*",'💹 Incentivi'!R8:R23),0)</f>
        <v>1146908.82</v>
      </c>
      <c r="M15" s="108" t="n">
        <f aca="false">IFERROR(SUMIF('💹 Incentivi'!D28:D43,"*Narbone*",'💹 Incentivi'!R28:R43),0)</f>
        <v>418280.78807</v>
      </c>
      <c r="N15" s="43" t="n">
        <f aca="false">IFERROR(I15+M15,"")</f>
        <v>488168.38147268</v>
      </c>
      <c r="O15" s="45" t="n">
        <f aca="false">IFERROR(N15/(G15+M15),"")</f>
        <v>0.987704124257817</v>
      </c>
    </row>
    <row r="16" customFormat="false" ht="16.5" hidden="false" customHeight="true" outlineLevel="0" collapsed="false">
      <c r="B16" s="38" t="n">
        <v>9</v>
      </c>
      <c r="C16" s="70" t="s">
        <v>328</v>
      </c>
      <c r="D16" s="75" t="s">
        <v>320</v>
      </c>
      <c r="E16" s="24" t="n">
        <f aca="false">IFERROR(SUMIFS(Fonte_Dati!G:G,Fonte_Dati!D:D,C16),0)</f>
        <v>50858.7870683564</v>
      </c>
      <c r="F16" s="24" t="n">
        <f aca="false">IFERROR(SUMIFS(Fonte_Dati!H:H,Fonte_Dati!D:D,C16),0)</f>
        <v>-106.6818159</v>
      </c>
      <c r="G16" s="40" t="n">
        <f aca="false">IFERROR(SUMIFS(Fonte_Dati!I:I,Fonte_Dati!D:D,C16),0)</f>
        <v>50752.1052524564</v>
      </c>
      <c r="H16" s="24" t="n">
        <f aca="false">IFERROR(G16*0.08,0)</f>
        <v>4060.16842019651</v>
      </c>
      <c r="I16" s="40" t="n">
        <f aca="false">IFERROR(G16-H16,0)</f>
        <v>46691.9368322599</v>
      </c>
      <c r="J16" s="42" t="n">
        <f aca="false">IFERROR(I16/G16,0)</f>
        <v>0.92</v>
      </c>
      <c r="K16" s="24" t="n">
        <f aca="false">IFERROR(SUMIFS(Fonte_Dati!I:I,Fonte_Dati!D:D,C16)/SUMIFS(Fonte_Dati!F:F,Fonte_Dati!D:D,C16)*1000,0)</f>
        <v>95.146684229728</v>
      </c>
      <c r="L16" s="107" t="n">
        <f aca="false">IFERROR(SUMIF('💹 Incentivi'!D8:D23,"*Perniciara*",'💹 Incentivi'!R8:R23),0)</f>
        <v>0</v>
      </c>
      <c r="M16" s="108" t="n">
        <f aca="false">IFERROR(SUMIF('💹 Incentivi'!D28:D43,"*Perniciara*",'💹 Incentivi'!R28:R43),0)</f>
        <v>0</v>
      </c>
      <c r="N16" s="40" t="n">
        <f aca="false">IFERROR(I16+M16,"")</f>
        <v>46691.9368322599</v>
      </c>
      <c r="O16" s="42" t="n">
        <f aca="false">IFERROR(N16/(G16+M16),"")</f>
        <v>0.92</v>
      </c>
    </row>
    <row r="17" customFormat="false" ht="16.5" hidden="false" customHeight="true" outlineLevel="0" collapsed="false">
      <c r="B17" s="38" t="n">
        <v>10</v>
      </c>
      <c r="C17" s="73" t="s">
        <v>329</v>
      </c>
      <c r="D17" s="75" t="s">
        <v>320</v>
      </c>
      <c r="E17" s="27" t="n">
        <f aca="false">IFERROR(SUMIFS(Fonte_Dati!G:G,Fonte_Dati!D:D,C17),0)</f>
        <v>46577.7927076047</v>
      </c>
      <c r="F17" s="27" t="n">
        <f aca="false">IFERROR(SUMIFS(Fonte_Dati!H:H,Fonte_Dati!D:D,C17),0)</f>
        <v>-97.5872599679996</v>
      </c>
      <c r="G17" s="43" t="n">
        <f aca="false">IFERROR(SUMIFS(Fonte_Dati!I:I,Fonte_Dati!D:D,C17),0)</f>
        <v>46480.2054476367</v>
      </c>
      <c r="H17" s="27" t="n">
        <f aca="false">IFERROR(G17*0.08,0)</f>
        <v>3718.41643581094</v>
      </c>
      <c r="I17" s="43" t="n">
        <f aca="false">IFERROR(G17-H17,0)</f>
        <v>42761.7890118258</v>
      </c>
      <c r="J17" s="45" t="n">
        <f aca="false">IFERROR(I17/G17,0)</f>
        <v>0.92</v>
      </c>
      <c r="K17" s="27" t="n">
        <f aca="false">IFERROR(SUMIFS(Fonte_Dati!I:I,Fonte_Dati!D:D,C17)/SUMIFS(Fonte_Dati!F:F,Fonte_Dati!D:D,C17)*1000,0)</f>
        <v>95.2587570608671</v>
      </c>
      <c r="L17" s="107" t="n">
        <f aca="false">IFERROR(SUMIF('💹 Incentivi'!D8:D23,"*Gela*",'💹 Incentivi'!R8:R23),0)</f>
        <v>343824.57</v>
      </c>
      <c r="M17" s="108" t="n">
        <f aca="false">IFERROR(SUMIF('💹 Incentivi'!D28:D43,"*Gela*",'💹 Incentivi'!R28:R43),0)</f>
        <v>138878.391</v>
      </c>
      <c r="N17" s="43" t="n">
        <f aca="false">IFERROR(I17+M17,"")</f>
        <v>181640.180011826</v>
      </c>
      <c r="O17" s="45" t="n">
        <f aca="false">IFERROR(N17/(G17+M17),"")</f>
        <v>0.979939336469558</v>
      </c>
    </row>
    <row r="18" customFormat="false" ht="16.5" hidden="false" customHeight="true" outlineLevel="0" collapsed="false">
      <c r="B18" s="38" t="n">
        <v>11</v>
      </c>
      <c r="C18" s="70" t="s">
        <v>324</v>
      </c>
      <c r="D18" s="75" t="s">
        <v>320</v>
      </c>
      <c r="E18" s="24" t="n">
        <f aca="false">IFERROR(SUMIFS(Fonte_Dati!G:G,Fonte_Dati!D:D,C18),0)</f>
        <v>29734.2766692403</v>
      </c>
      <c r="F18" s="24" t="n">
        <f aca="false">IFERROR(SUMIFS(Fonte_Dati!H:H,Fonte_Dati!D:D,C18),0)</f>
        <v>-64.97422434</v>
      </c>
      <c r="G18" s="40" t="n">
        <f aca="false">IFERROR(SUMIFS(Fonte_Dati!I:I,Fonte_Dati!D:D,C18),0)</f>
        <v>29669.3024449004</v>
      </c>
      <c r="H18" s="24" t="n">
        <f aca="false">IFERROR(G18*0.08,0)</f>
        <v>2373.54419559203</v>
      </c>
      <c r="I18" s="40" t="n">
        <f aca="false">IFERROR(G18-H18,0)</f>
        <v>27295.7582493084</v>
      </c>
      <c r="J18" s="42" t="n">
        <f aca="false">IFERROR(I18/G18,0)</f>
        <v>0.92</v>
      </c>
      <c r="K18" s="24" t="n">
        <f aca="false">IFERROR(SUMIFS(Fonte_Dati!I:I,Fonte_Dati!D:D,C18)/SUMIFS(Fonte_Dati!F:F,Fonte_Dati!D:D,C18)*1000,0)</f>
        <v>91.3263767171596</v>
      </c>
      <c r="L18" s="107" t="n">
        <f aca="false">IFERROR(SUMIF('💹 Incentivi'!D8:D23,"*Malvizzo*",'💹 Incentivi'!R8:R23),0)</f>
        <v>243603.03</v>
      </c>
      <c r="M18" s="108" t="n">
        <f aca="false">IFERROR(SUMIF('💹 Incentivi'!D28:D43,"*Malvizzo*",'💹 Incentivi'!R28:R43),0)</f>
        <v>82537.585</v>
      </c>
      <c r="N18" s="40" t="n">
        <f aca="false">IFERROR(I18+M18,"")</f>
        <v>109833.343249308</v>
      </c>
      <c r="O18" s="42" t="n">
        <f aca="false">IFERROR(N18/(G18+M18),"")</f>
        <v>0.978846715654976</v>
      </c>
    </row>
    <row r="19" customFormat="false" ht="16.5" hidden="false" customHeight="true" outlineLevel="0" collapsed="false">
      <c r="B19" s="38" t="n">
        <v>12</v>
      </c>
      <c r="C19" s="73" t="s">
        <v>325</v>
      </c>
      <c r="D19" s="75" t="s">
        <v>320</v>
      </c>
      <c r="E19" s="27" t="n">
        <f aca="false">IFERROR(SUMIFS(Fonte_Dati!G:G,Fonte_Dati!D:D,C19),0)</f>
        <v>29047.2579876769</v>
      </c>
      <c r="F19" s="27" t="n">
        <f aca="false">IFERROR(SUMIFS(Fonte_Dati!H:H,Fonte_Dati!D:D,C19),0)</f>
        <v>-63.8390263680011</v>
      </c>
      <c r="G19" s="43" t="n">
        <f aca="false">IFERROR(SUMIFS(Fonte_Dati!I:I,Fonte_Dati!D:D,C19),0)</f>
        <v>28983.418961309</v>
      </c>
      <c r="H19" s="27" t="n">
        <f aca="false">IFERROR(G19*0.08,0)</f>
        <v>2318.67351690472</v>
      </c>
      <c r="I19" s="43" t="n">
        <f aca="false">IFERROR(G19-H19,0)</f>
        <v>26664.7454444043</v>
      </c>
      <c r="J19" s="45" t="n">
        <f aca="false">IFERROR(I19/G19,0)</f>
        <v>0.92</v>
      </c>
      <c r="K19" s="27" t="n">
        <f aca="false">IFERROR(SUMIFS(Fonte_Dati!I:I,Fonte_Dati!D:D,C19)/SUMIFS(Fonte_Dati!F:F,Fonte_Dati!D:D,C19)*1000,0)</f>
        <v>90.8015695422219</v>
      </c>
      <c r="L19" s="107" t="n">
        <f aca="false">IFERROR(SUMIF('💹 Incentivi'!D8:D23,"*Malvizzo a Terra*",'💹 Incentivi'!R8:R23),0)</f>
        <v>243603.03</v>
      </c>
      <c r="M19" s="108" t="n">
        <f aca="false">IFERROR(SUMIF('💹 Incentivi'!D28:D43,"*Malvizzo a Terra*",'💹 Incentivi'!R28:R43),0)</f>
        <v>82537.585</v>
      </c>
      <c r="N19" s="43" t="n">
        <f aca="false">IFERROR(I19+M19,"")</f>
        <v>109202.330444404</v>
      </c>
      <c r="O19" s="45" t="n">
        <f aca="false">IFERROR(N19/(G19+M19),"")</f>
        <v>0.979208638421968</v>
      </c>
    </row>
    <row r="20" customFormat="false" ht="16.5" hidden="false" customHeight="true" outlineLevel="0" collapsed="false">
      <c r="B20" s="38" t="n">
        <v>13</v>
      </c>
      <c r="C20" s="70" t="s">
        <v>327</v>
      </c>
      <c r="D20" s="75" t="s">
        <v>320</v>
      </c>
      <c r="E20" s="24" t="n">
        <f aca="false">IFERROR(SUMIFS(Fonte_Dati!G:G,Fonte_Dati!D:D,C20),0)</f>
        <v>8742.47177838569</v>
      </c>
      <c r="F20" s="24" t="n">
        <f aca="false">IFERROR(SUMIFS(Fonte_Dati!H:H,Fonte_Dati!D:D,C20),0)</f>
        <v>-15.1770798719993</v>
      </c>
      <c r="G20" s="40" t="n">
        <f aca="false">IFERROR(SUMIFS(Fonte_Dati!I:I,Fonte_Dati!D:D,C20),0)</f>
        <v>8727.29469851368</v>
      </c>
      <c r="H20" s="24" t="n">
        <f aca="false">IFERROR(G20*0.08,0)</f>
        <v>698.183575881095</v>
      </c>
      <c r="I20" s="40" t="n">
        <f aca="false">IFERROR(G20-H20,0)</f>
        <v>8029.11112263259</v>
      </c>
      <c r="J20" s="42" t="n">
        <f aca="false">IFERROR(I20/G20,0)</f>
        <v>0.92</v>
      </c>
      <c r="K20" s="24" t="n">
        <f aca="false">IFERROR(SUMIFS(Fonte_Dati!I:I,Fonte_Dati!D:D,C20)/SUMIFS(Fonte_Dati!F:F,Fonte_Dati!D:D,C20)*1000,0)</f>
        <v>115.006243257835</v>
      </c>
      <c r="L20" s="107" t="n">
        <f aca="false">IFERROR(SUMIF('💹 Incentivi'!D8:D23,"*Narbone a Terra*",'💹 Incentivi'!R8:R23),0)</f>
        <v>168704.664</v>
      </c>
      <c r="M20" s="108" t="n">
        <f aca="false">IFERROR(SUMIF('💹 Incentivi'!D28:D43,"*Narbone a Terra*",'💹 Incentivi'!R28:R43),0)</f>
        <v>24935.8233</v>
      </c>
      <c r="N20" s="40" t="n">
        <f aca="false">IFERROR(I20+M20,"")</f>
        <v>32964.9344226326</v>
      </c>
      <c r="O20" s="42" t="n">
        <f aca="false">IFERROR(N20/(G20+M20),"")</f>
        <v>0.979259687830702</v>
      </c>
    </row>
    <row r="21" customFormat="false" ht="16.5" hidden="false" customHeight="true" outlineLevel="0" collapsed="false">
      <c r="B21" s="38" t="n">
        <v>14</v>
      </c>
      <c r="C21" s="73" t="s">
        <v>326</v>
      </c>
      <c r="D21" s="75" t="s">
        <v>320</v>
      </c>
      <c r="E21" s="27" t="n">
        <f aca="false">IFERROR(SUMIFS(Fonte_Dati!G:G,Fonte_Dati!D:D,C21),0)</f>
        <v>7402.49901172912</v>
      </c>
      <c r="F21" s="27" t="n">
        <f aca="false">IFERROR(SUMIFS(Fonte_Dati!H:H,Fonte_Dati!D:D,C21),0)</f>
        <v>-15.640494768</v>
      </c>
      <c r="G21" s="43" t="n">
        <f aca="false">IFERROR(SUMIFS(Fonte_Dati!I:I,Fonte_Dati!D:D,C21),0)</f>
        <v>7386.85851696112</v>
      </c>
      <c r="H21" s="27" t="n">
        <f aca="false">IFERROR(G21*0.08,0)</f>
        <v>590.94868135689</v>
      </c>
      <c r="I21" s="43" t="n">
        <f aca="false">IFERROR(G21-H21,0)</f>
        <v>6795.90983560423</v>
      </c>
      <c r="J21" s="45" t="n">
        <f aca="false">IFERROR(I21/G21,0)</f>
        <v>0.92</v>
      </c>
      <c r="K21" s="27" t="n">
        <f aca="false">IFERROR(SUMIFS(Fonte_Dati!I:I,Fonte_Dati!D:D,C21)/SUMIFS(Fonte_Dati!F:F,Fonte_Dati!D:D,C21)*1000,0)</f>
        <v>94.4581181929667</v>
      </c>
      <c r="L21" s="107" t="n">
        <f aca="false">IFERROR(SUMIF('💹 Incentivi'!D8:D23,"*Narbone Piccolo*",'💹 Incentivi'!R8:R23),0)</f>
        <v>0</v>
      </c>
      <c r="M21" s="108" t="n">
        <f aca="false">IFERROR(SUMIF('💹 Incentivi'!D28:D43,"*Narbone Piccolo*",'💹 Incentivi'!R28:R43),0)</f>
        <v>0</v>
      </c>
      <c r="N21" s="43" t="n">
        <f aca="false">IFERROR(I21+M21,"")</f>
        <v>6795.90983560423</v>
      </c>
      <c r="O21" s="45" t="n">
        <f aca="false">IFERROR(N21/(G21+M21),"")</f>
        <v>0.92</v>
      </c>
    </row>
    <row r="22" customFormat="false" ht="16.5" hidden="false" customHeight="true" outlineLevel="0" collapsed="false">
      <c r="B22" s="38" t="n">
        <v>15</v>
      </c>
      <c r="C22" s="70" t="s">
        <v>321</v>
      </c>
      <c r="D22" s="75" t="s">
        <v>320</v>
      </c>
      <c r="E22" s="24" t="n">
        <f aca="false">IFERROR(SUMIFS(Fonte_Dati!G:G,Fonte_Dati!D:D,C22),0)</f>
        <v>6636.80406630248</v>
      </c>
      <c r="F22" s="24" t="n">
        <f aca="false">IFERROR(SUMIFS(Fonte_Dati!H:H,Fonte_Dati!D:D,C22),0)</f>
        <v>-14.4656128319999</v>
      </c>
      <c r="G22" s="40" t="n">
        <f aca="false">IFERROR(SUMIFS(Fonte_Dati!I:I,Fonte_Dati!D:D,C22),0)</f>
        <v>6622.33845347049</v>
      </c>
      <c r="H22" s="24" t="n">
        <f aca="false">IFERROR(G22*0.08,0)</f>
        <v>529.787076277639</v>
      </c>
      <c r="I22" s="40" t="n">
        <f aca="false">IFERROR(G22-H22,0)</f>
        <v>6092.55137719285</v>
      </c>
      <c r="J22" s="42" t="n">
        <f aca="false">IFERROR(I22/G22,0)</f>
        <v>0.92</v>
      </c>
      <c r="K22" s="24" t="n">
        <f aca="false">IFERROR(SUMIFS(Fonte_Dati!I:I,Fonte_Dati!D:D,C22)/SUMIFS(Fonte_Dati!F:F,Fonte_Dati!D:D,C22)*1000,0)</f>
        <v>91.5597359113744</v>
      </c>
      <c r="L22" s="107" t="n">
        <f aca="false">IFERROR(SUMIF('💹 Incentivi'!D8:D23,"*Campofranco*",'💹 Incentivi'!R8:R23),0)</f>
        <v>99855.048</v>
      </c>
      <c r="M22" s="108" t="n">
        <f aca="false">IFERROR(SUMIF('💹 Incentivi'!D28:D43,"*Campofranco*",'💹 Incentivi'!R28:R43),0)</f>
        <v>39361.2992</v>
      </c>
      <c r="N22" s="40" t="n">
        <f aca="false">IFERROR(I22+M22,"")</f>
        <v>45453.8505771929</v>
      </c>
      <c r="O22" s="42" t="n">
        <f aca="false">IFERROR(N22/(G22+M22),"")</f>
        <v>0.988478791515581</v>
      </c>
    </row>
    <row r="23" customFormat="false" ht="16.5" hidden="false" customHeight="true" outlineLevel="0" collapsed="false">
      <c r="B23" s="38" t="n">
        <v>16</v>
      </c>
      <c r="C23" s="73" t="s">
        <v>332</v>
      </c>
      <c r="D23" s="75" t="s">
        <v>320</v>
      </c>
      <c r="E23" s="27" t="n">
        <f aca="false">IFERROR(SUMIFS(Fonte_Dati!G:G,Fonte_Dati!D:D,C23),0)</f>
        <v>1828.98809174635</v>
      </c>
      <c r="F23" s="27" t="n">
        <f aca="false">IFERROR(SUMIFS(Fonte_Dati!H:H,Fonte_Dati!D:D,C23),0)</f>
        <v>-3.92140861200006</v>
      </c>
      <c r="G23" s="43" t="n">
        <f aca="false">IFERROR(SUMIFS(Fonte_Dati!I:I,Fonte_Dati!D:D,C23),0)</f>
        <v>1825.06668313435</v>
      </c>
      <c r="H23" s="27" t="n">
        <f aca="false">IFERROR(G23*0.08,0)</f>
        <v>146.005334650748</v>
      </c>
      <c r="I23" s="43" t="n">
        <f aca="false">IFERROR(G23-H23,0)</f>
        <v>1679.0613484836</v>
      </c>
      <c r="J23" s="45" t="n">
        <f aca="false">IFERROR(I23/G23,0)</f>
        <v>0.92</v>
      </c>
      <c r="K23" s="27" t="n">
        <f aca="false">IFERROR(SUMIFS(Fonte_Dati!I:I,Fonte_Dati!D:D,C23)/SUMIFS(Fonte_Dati!F:F,Fonte_Dati!D:D,C23)*1000,0)</f>
        <v>93.0821989603123</v>
      </c>
      <c r="L23" s="107" t="n">
        <f aca="false">IFERROR(SUMIF('💹 Incentivi'!D8:D23,"*Tumarrano*",'💹 Incentivi'!R8:R23),0)</f>
        <v>5264.18048</v>
      </c>
      <c r="M23" s="108" t="n">
        <f aca="false">IFERROR(SUMIF('💹 Incentivi'!D28:D43,"*Tumarrano*",'💹 Incentivi'!R28:R43),0)</f>
        <v>21633.9132472</v>
      </c>
      <c r="N23" s="43" t="n">
        <f aca="false">IFERROR(I23+M23,"")</f>
        <v>23312.9745956836</v>
      </c>
      <c r="O23" s="45" t="n">
        <f aca="false">IFERROR(N23/(G23+M23),"")</f>
        <v>0.993776143076795</v>
      </c>
    </row>
    <row r="24" customFormat="false" ht="15" hidden="false" customHeight="true" outlineLevel="0" collapsed="false">
      <c r="B24" s="98" t="s">
        <v>431</v>
      </c>
      <c r="C24" s="98"/>
      <c r="D24" s="98"/>
      <c r="E24" s="29" t="n">
        <f aca="false">SUM(E8:E23)</f>
        <v>3133013.13684192</v>
      </c>
      <c r="F24" s="29" t="n">
        <f aca="false">SUM(F8:F23)</f>
        <v>-5784.83567038502</v>
      </c>
      <c r="G24" s="29" t="n">
        <f aca="false">SUM(G8:G23)</f>
        <v>3127228.30117153</v>
      </c>
      <c r="H24" s="29" t="n">
        <f aca="false">SUM(H8:H23)</f>
        <v>250178.264093723</v>
      </c>
      <c r="I24" s="29" t="n">
        <f aca="false">SUM(I8:I23)</f>
        <v>2877050.03707781</v>
      </c>
      <c r="J24" s="48" t="n">
        <f aca="false">IFERROR(I24/G24,0)</f>
        <v>0.92</v>
      </c>
      <c r="K24" s="29" t="n">
        <f aca="false">IFERROR(G24/E24,0)</f>
        <v>0.998153587164267</v>
      </c>
      <c r="L24" s="29" t="n">
        <f aca="false">SUM(L8:L23)</f>
        <v>4597508.53448</v>
      </c>
      <c r="M24" s="29" t="n">
        <f aca="false">SUM(M8:M23)</f>
        <v>1704958.8839372</v>
      </c>
      <c r="N24" s="29" t="n">
        <f aca="false">SUM(N8:N23)</f>
        <v>4582008.92101501</v>
      </c>
      <c r="O24" s="48" t="n">
        <f aca="false">IFERROR(N24/(G24+M24),0)</f>
        <v>0.948226702627603</v>
      </c>
    </row>
    <row r="26" customFormat="false" ht="24" hidden="false" customHeight="true" outlineLevel="0" collapsed="false">
      <c r="B26" s="109" t="s">
        <v>504</v>
      </c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25"/>
      <c r="T26" s="25"/>
      <c r="U26" s="25"/>
      <c r="V26" s="25"/>
      <c r="W26" s="25"/>
    </row>
    <row r="27" customFormat="false" ht="33.75" hidden="false" customHeight="true" outlineLevel="0" collapsed="false">
      <c r="B27" s="110" t="s">
        <v>345</v>
      </c>
      <c r="C27" s="111" t="s">
        <v>310</v>
      </c>
      <c r="D27" s="110" t="s">
        <v>317</v>
      </c>
      <c r="E27" s="20" t="s">
        <v>505</v>
      </c>
      <c r="F27" s="20" t="s">
        <v>506</v>
      </c>
      <c r="G27" s="20" t="s">
        <v>507</v>
      </c>
      <c r="H27" s="20" t="s">
        <v>508</v>
      </c>
      <c r="I27" s="20" t="s">
        <v>509</v>
      </c>
      <c r="J27" s="20" t="s">
        <v>510</v>
      </c>
      <c r="K27" s="20" t="s">
        <v>511</v>
      </c>
      <c r="L27" s="61" t="s">
        <v>512</v>
      </c>
      <c r="M27" s="61" t="s">
        <v>513</v>
      </c>
      <c r="N27" s="61" t="s">
        <v>514</v>
      </c>
      <c r="O27" s="37" t="s">
        <v>515</v>
      </c>
      <c r="P27" s="37" t="s">
        <v>516</v>
      </c>
      <c r="Q27" s="37" t="s">
        <v>517</v>
      </c>
      <c r="R27" s="20" t="s">
        <v>518</v>
      </c>
      <c r="S27" s="25"/>
      <c r="T27" s="25"/>
      <c r="U27" s="25"/>
      <c r="V27" s="25"/>
      <c r="W27" s="25"/>
    </row>
    <row r="28" customFormat="false" ht="16.5" hidden="false" customHeight="true" outlineLevel="0" collapsed="false">
      <c r="B28" s="38" t="n">
        <v>1</v>
      </c>
      <c r="C28" s="22" t="s">
        <v>336</v>
      </c>
      <c r="D28" s="71" t="s">
        <v>334</v>
      </c>
      <c r="E28" s="24" t="n">
        <f aca="false">IFERROR(SUMIFS(Fonte_Dati!I:I,Fonte_Dati!D:D,C28,Fonte_Dati!C:C,"Gennaio"),0)</f>
        <v>588427.800285029</v>
      </c>
      <c r="F28" s="24" t="n">
        <f aca="false">IFERROR(SUMIFS(Fonte_Dati!I:I,Fonte_Dati!D:D,C28,Fonte_Dati!C:C,"Febbraio"),0)</f>
        <v>452327.042351556</v>
      </c>
      <c r="G28" s="24" t="n">
        <f aca="false">IFERROR(SUMIFS(Fonte_Dati!I:I,Fonte_Dati!D:D,C28,Fonte_Dati!C:C,"Marzo"),0)</f>
        <v>43.2432642588091</v>
      </c>
      <c r="H28" s="40" t="n">
        <f aca="false">IFERROR(SUM(E28:G28),0)</f>
        <v>1040798.08590084</v>
      </c>
      <c r="I28" s="112" t="n">
        <f aca="false">IFERROR(F28-E28,"")</f>
        <v>-136100.757933473</v>
      </c>
      <c r="J28" s="113" t="n">
        <f aca="false">IFERROR((F28-E28)/E28,"")</f>
        <v>-0.231295594578548</v>
      </c>
      <c r="K28" s="24" t="n">
        <f aca="false">IFERROR(SUMIFS(Fonte_Dati!I:I,Fonte_Dati!D:D,C28)/SUMIFS(Fonte_Dati!F:F,Fonte_Dati!D:D,C28)*1000,0)</f>
        <v>114.420798519876</v>
      </c>
      <c r="L28" s="107" t="n">
        <f aca="false">IFERROR(SUMIF('💹 Incentivi'!D8:D23,"*Narbone*",'💹 Incentivi'!F8:F23),0)</f>
        <v>382302.94</v>
      </c>
      <c r="M28" s="107" t="n">
        <f aca="false">IFERROR(SUMIF('💹 Incentivi'!D8:D23,"*Narbone*",'💹 Incentivi'!G8:G23),0)</f>
        <v>382302.94</v>
      </c>
      <c r="N28" s="107" t="n">
        <f aca="false">IFERROR(SUMIF('💹 Incentivi'!D8:D23,"*Narbone*",'💹 Incentivi'!H8:H23),0)</f>
        <v>382302.94</v>
      </c>
      <c r="O28" s="108" t="n">
        <f aca="false">IFERROR(SUMIF('💹 Incentivi'!D28:D43,"*Narbone*",'💹 Incentivi'!F28:F43),0)</f>
        <v>198419.78922</v>
      </c>
      <c r="P28" s="108" t="n">
        <f aca="false">IFERROR(SUMIF('💹 Incentivi'!D28:D43,"*Narbone*",'💹 Incentivi'!G28:G43),0)</f>
        <v>219860.99885</v>
      </c>
      <c r="Q28" s="108" t="n">
        <f aca="false">IFERROR(SUMIF('💹 Incentivi'!D28:D43,"*Narbone*",'💹 Incentivi'!H28:H43),0)</f>
        <v>0</v>
      </c>
      <c r="R28" s="40" t="n">
        <f aca="false">IFERROR(SUM(O28:Q28),0)</f>
        <v>418280.78807</v>
      </c>
      <c r="S28" s="25"/>
      <c r="T28" s="25"/>
      <c r="U28" s="25"/>
      <c r="V28" s="25"/>
      <c r="W28" s="25"/>
    </row>
    <row r="29" customFormat="false" ht="16.5" hidden="false" customHeight="true" outlineLevel="0" collapsed="false">
      <c r="B29" s="38" t="n">
        <v>2</v>
      </c>
      <c r="C29" s="22" t="s">
        <v>333</v>
      </c>
      <c r="D29" s="71" t="s">
        <v>334</v>
      </c>
      <c r="E29" s="27" t="n">
        <f aca="false">IFERROR(SUMIFS(Fonte_Dati!I:I,Fonte_Dati!D:D,C29,Fonte_Dati!C:C,"Gennaio"),0)</f>
        <v>480407.096733545</v>
      </c>
      <c r="F29" s="27" t="n">
        <f aca="false">IFERROR(SUMIFS(Fonte_Dati!I:I,Fonte_Dati!D:D,C29,Fonte_Dati!C:C,"Febbraio"),0)</f>
        <v>426403.703944244</v>
      </c>
      <c r="G29" s="27" t="n">
        <f aca="false">IFERROR(SUMIFS(Fonte_Dati!I:I,Fonte_Dati!D:D,C29,Fonte_Dati!C:C,"Marzo"),0)</f>
        <v>0</v>
      </c>
      <c r="H29" s="43" t="n">
        <f aca="false">IFERROR(SUM(E29:G29),0)</f>
        <v>906810.800677789</v>
      </c>
      <c r="I29" s="114" t="n">
        <f aca="false">IFERROR(F29-E29,"")</f>
        <v>-54003.392789301</v>
      </c>
      <c r="J29" s="115" t="n">
        <f aca="false">IFERROR((F29-E29)/E29,"")</f>
        <v>-0.112411729877616</v>
      </c>
      <c r="K29" s="27" t="n">
        <f aca="false">IFERROR(SUMIFS(Fonte_Dati!I:I,Fonte_Dati!D:D,C29)/SUMIFS(Fonte_Dati!F:F,Fonte_Dati!D:D,C29)*1000,0)</f>
        <v>111.85094207367</v>
      </c>
      <c r="L29" s="116" t="n">
        <f aca="false">IFERROR(SUMIF('💹 Incentivi'!D8:D23,"*Durr*",'💹 Incentivi'!F8:F23),0)</f>
        <v>0</v>
      </c>
      <c r="M29" s="116" t="n">
        <f aca="false">IFERROR(SUMIF('💹 Incentivi'!D8:D23,"*Durr*",'💹 Incentivi'!G8:G23),0)</f>
        <v>0</v>
      </c>
      <c r="N29" s="116" t="n">
        <f aca="false">IFERROR(SUMIF('💹 Incentivi'!D8:D23,"*Durr*",'💹 Incentivi'!H8:H23),0)</f>
        <v>0</v>
      </c>
      <c r="O29" s="117" t="n">
        <f aca="false">IFERROR(SUMIF('💹 Incentivi'!D28:D43,"*Durr*",'💹 Incentivi'!F28:F43),0)</f>
        <v>0</v>
      </c>
      <c r="P29" s="117" t="n">
        <f aca="false">IFERROR(SUMIF('💹 Incentivi'!D28:D43,"*Durr*",'💹 Incentivi'!G28:G43),0)</f>
        <v>0</v>
      </c>
      <c r="Q29" s="117" t="n">
        <f aca="false">IFERROR(SUMIF('💹 Incentivi'!D28:D43,"*Durr*",'💹 Incentivi'!H28:H43),0)</f>
        <v>0</v>
      </c>
      <c r="R29" s="43" t="n">
        <f aca="false">IFERROR(SUM(O29:Q29),0)</f>
        <v>0</v>
      </c>
      <c r="S29" s="25"/>
      <c r="T29" s="25"/>
      <c r="U29" s="25"/>
      <c r="V29" s="25"/>
      <c r="W29" s="25"/>
    </row>
    <row r="30" customFormat="false" ht="16.5" hidden="false" customHeight="true" outlineLevel="0" collapsed="false">
      <c r="B30" s="38" t="n">
        <v>3</v>
      </c>
      <c r="C30" s="22" t="s">
        <v>335</v>
      </c>
      <c r="D30" s="71" t="s">
        <v>334</v>
      </c>
      <c r="E30" s="24" t="n">
        <f aca="false">IFERROR(SUMIFS(Fonte_Dati!I:I,Fonte_Dati!D:D,C30,Fonte_Dati!C:C,"Gennaio"),0)</f>
        <v>226960.124129317</v>
      </c>
      <c r="F30" s="24" t="n">
        <f aca="false">IFERROR(SUMIFS(Fonte_Dati!I:I,Fonte_Dati!D:D,C30,Fonte_Dati!C:C,"Febbraio"),0)</f>
        <v>217191.863781901</v>
      </c>
      <c r="G30" s="24" t="n">
        <f aca="false">IFERROR(SUMIFS(Fonte_Dati!I:I,Fonte_Dati!D:D,C30,Fonte_Dati!C:C,"Marzo"),0)</f>
        <v>114.509814907377</v>
      </c>
      <c r="H30" s="40" t="n">
        <f aca="false">IFERROR(SUM(E30:G30),0)</f>
        <v>444266.497726125</v>
      </c>
      <c r="I30" s="112" t="n">
        <f aca="false">IFERROR(F30-E30,"")</f>
        <v>-9768.26034741601</v>
      </c>
      <c r="J30" s="113" t="n">
        <f aca="false">IFERROR((F30-E30)/E30,"")</f>
        <v>-0.0430395444349082</v>
      </c>
      <c r="K30" s="24" t="n">
        <f aca="false">IFERROR(SUMIFS(Fonte_Dati!I:I,Fonte_Dati!D:D,C30)/SUMIFS(Fonte_Dati!F:F,Fonte_Dati!D:D,C30)*1000,0)</f>
        <v>112.612869669662</v>
      </c>
      <c r="L30" s="107" t="n">
        <f aca="false">IFERROR(SUMIF('💹 Incentivi'!D8:D23,"*Malvizzo*",'💹 Incentivi'!F8:F23),0)</f>
        <v>81201.01</v>
      </c>
      <c r="M30" s="107" t="n">
        <f aca="false">IFERROR(SUMIF('💹 Incentivi'!D8:D23,"*Malvizzo*",'💹 Incentivi'!G8:G23),0)</f>
        <v>81201.01</v>
      </c>
      <c r="N30" s="107" t="n">
        <f aca="false">IFERROR(SUMIF('💹 Incentivi'!D8:D23,"*Malvizzo*",'💹 Incentivi'!H8:H23),0)</f>
        <v>81201.01</v>
      </c>
      <c r="O30" s="108" t="n">
        <f aca="false">IFERROR(SUMIF('💹 Incentivi'!D28:D43,"*Malvizzo*",'💹 Incentivi'!F28:F43),0)</f>
        <v>28936.5099</v>
      </c>
      <c r="P30" s="108" t="n">
        <f aca="false">IFERROR(SUMIF('💹 Incentivi'!D28:D43,"*Malvizzo*",'💹 Incentivi'!G28:G43),0)</f>
        <v>53601.0751</v>
      </c>
      <c r="Q30" s="108" t="n">
        <f aca="false">IFERROR(SUMIF('💹 Incentivi'!D28:D43,"*Malvizzo*",'💹 Incentivi'!H28:H43),0)</f>
        <v>0</v>
      </c>
      <c r="R30" s="40" t="n">
        <f aca="false">IFERROR(SUM(O30:Q30),0)</f>
        <v>82537.585</v>
      </c>
      <c r="S30" s="25"/>
      <c r="T30" s="25"/>
      <c r="U30" s="25"/>
      <c r="V30" s="25"/>
      <c r="W30" s="25"/>
    </row>
    <row r="31" customFormat="false" ht="16.5" hidden="false" customHeight="true" outlineLevel="0" collapsed="false">
      <c r="B31" s="38" t="n">
        <v>4</v>
      </c>
      <c r="C31" s="22" t="s">
        <v>323</v>
      </c>
      <c r="D31" s="75" t="s">
        <v>320</v>
      </c>
      <c r="E31" s="27" t="n">
        <f aca="false">IFERROR(SUMIFS(Fonte_Dati!I:I,Fonte_Dati!D:D,C31,Fonte_Dati!C:C,"Gennaio"),0)</f>
        <v>76630.9036034162</v>
      </c>
      <c r="F31" s="27" t="n">
        <f aca="false">IFERROR(SUMIFS(Fonte_Dati!I:I,Fonte_Dati!D:D,C31,Fonte_Dati!C:C,"Febbraio"),0)</f>
        <v>73459.8251362295</v>
      </c>
      <c r="G31" s="27" t="n">
        <f aca="false">IFERROR(SUMIFS(Fonte_Dati!I:I,Fonte_Dati!D:D,C31,Fonte_Dati!C:C,"Marzo"),0)</f>
        <v>0</v>
      </c>
      <c r="H31" s="43" t="n">
        <f aca="false">IFERROR(SUM(E31:G31),0)</f>
        <v>150090.728739646</v>
      </c>
      <c r="I31" s="114" t="n">
        <f aca="false">IFERROR(F31-E31,"")</f>
        <v>-3171.0784671867</v>
      </c>
      <c r="J31" s="115" t="n">
        <f aca="false">IFERROR((F31-E31)/E31,"")</f>
        <v>-0.0413811963329809</v>
      </c>
      <c r="K31" s="27" t="n">
        <f aca="false">IFERROR(SUMIFS(Fonte_Dati!I:I,Fonte_Dati!D:D,C31)/SUMIFS(Fonte_Dati!F:F,Fonte_Dati!D:D,C31)*1000,0)</f>
        <v>95.0104061310683</v>
      </c>
      <c r="L31" s="116" t="n">
        <f aca="false">IFERROR(SUMIF('💹 Incentivi'!D8:D23,"*Favara*",'💹 Incentivi'!F8:F23),0)</f>
        <v>0</v>
      </c>
      <c r="M31" s="116" t="n">
        <f aca="false">IFERROR(SUMIF('💹 Incentivi'!D8:D23,"*Favara*",'💹 Incentivi'!G8:G23),0)</f>
        <v>0</v>
      </c>
      <c r="N31" s="116" t="n">
        <f aca="false">IFERROR(SUMIF('💹 Incentivi'!D8:D23,"*Favara*",'💹 Incentivi'!H8:H23),0)</f>
        <v>0</v>
      </c>
      <c r="O31" s="117" t="n">
        <f aca="false">IFERROR(SUMIF('💹 Incentivi'!D28:D43,"*Favara*",'💹 Incentivi'!F28:F43),0)</f>
        <v>0</v>
      </c>
      <c r="P31" s="117" t="n">
        <f aca="false">IFERROR(SUMIF('💹 Incentivi'!D28:D43,"*Favara*",'💹 Incentivi'!G28:G43),0)</f>
        <v>0</v>
      </c>
      <c r="Q31" s="117" t="n">
        <f aca="false">IFERROR(SUMIF('💹 Incentivi'!D28:D43,"*Favara*",'💹 Incentivi'!H28:H43),0)</f>
        <v>0</v>
      </c>
      <c r="R31" s="43" t="n">
        <f aca="false">IFERROR(SUM(O31:Q31),0)</f>
        <v>0</v>
      </c>
      <c r="S31" s="25"/>
      <c r="T31" s="25"/>
      <c r="U31" s="25"/>
      <c r="V31" s="25"/>
      <c r="W31" s="25"/>
    </row>
    <row r="32" customFormat="false" ht="16.5" hidden="false" customHeight="true" outlineLevel="0" collapsed="false">
      <c r="B32" s="38" t="n">
        <v>5</v>
      </c>
      <c r="C32" s="22" t="s">
        <v>322</v>
      </c>
      <c r="D32" s="75" t="s">
        <v>320</v>
      </c>
      <c r="E32" s="24" t="n">
        <f aca="false">IFERROR(SUMIFS(Fonte_Dati!I:I,Fonte_Dati!D:D,C32,Fonte_Dati!C:C,"Gennaio"),0)</f>
        <v>79034.9140723201</v>
      </c>
      <c r="F32" s="24" t="n">
        <f aca="false">IFERROR(SUMIFS(Fonte_Dati!I:I,Fonte_Dati!D:D,C32,Fonte_Dati!C:C,"Febbraio"),0)</f>
        <v>69014.0849845405</v>
      </c>
      <c r="G32" s="24" t="n">
        <f aca="false">IFERROR(SUMIFS(Fonte_Dati!I:I,Fonte_Dati!D:D,C32,Fonte_Dati!C:C,"Marzo"),0)</f>
        <v>0</v>
      </c>
      <c r="H32" s="40" t="n">
        <f aca="false">IFERROR(SUM(E32:G32),0)</f>
        <v>148048.999056861</v>
      </c>
      <c r="I32" s="112" t="n">
        <f aca="false">IFERROR(F32-E32,"")</f>
        <v>-10020.8290877796</v>
      </c>
      <c r="J32" s="113" t="n">
        <f aca="false">IFERROR((F32-E32)/E32,"")</f>
        <v>-0.126789902986548</v>
      </c>
      <c r="K32" s="24" t="n">
        <f aca="false">IFERROR(SUMIFS(Fonte_Dati!I:I,Fonte_Dati!D:D,C32)/SUMIFS(Fonte_Dati!F:F,Fonte_Dati!D:D,C32)*1000,0)</f>
        <v>96.2260184924635</v>
      </c>
      <c r="L32" s="107" t="n">
        <f aca="false">IFERROR(SUMIF('💹 Incentivi'!D8:D23,"*Fauma*",'💹 Incentivi'!F8:F23),0)</f>
        <v>0</v>
      </c>
      <c r="M32" s="107" t="n">
        <f aca="false">IFERROR(SUMIF('💹 Incentivi'!D8:D23,"*Fauma*",'💹 Incentivi'!G8:G23),0)</f>
        <v>0</v>
      </c>
      <c r="N32" s="107" t="n">
        <f aca="false">IFERROR(SUMIF('💹 Incentivi'!D8:D23,"*Fauma*",'💹 Incentivi'!H8:H23),0)</f>
        <v>0</v>
      </c>
      <c r="O32" s="108" t="n">
        <f aca="false">IFERROR(SUMIF('💹 Incentivi'!D28:D43,"*Fauma*",'💹 Incentivi'!F28:F43),0)</f>
        <v>0</v>
      </c>
      <c r="P32" s="108" t="n">
        <f aca="false">IFERROR(SUMIF('💹 Incentivi'!D28:D43,"*Fauma*",'💹 Incentivi'!G28:G43),0)</f>
        <v>0</v>
      </c>
      <c r="Q32" s="108" t="n">
        <f aca="false">IFERROR(SUMIF('💹 Incentivi'!D28:D43,"*Fauma*",'💹 Incentivi'!H28:H43),0)</f>
        <v>0</v>
      </c>
      <c r="R32" s="40" t="n">
        <f aca="false">IFERROR(SUM(O32:Q32),0)</f>
        <v>0</v>
      </c>
      <c r="S32" s="25"/>
      <c r="T32" s="25"/>
      <c r="U32" s="25"/>
      <c r="V32" s="25"/>
      <c r="W32" s="25"/>
    </row>
    <row r="33" customFormat="false" ht="16.5" hidden="false" customHeight="true" outlineLevel="0" collapsed="false">
      <c r="B33" s="38" t="n">
        <v>6</v>
      </c>
      <c r="C33" s="22" t="s">
        <v>319</v>
      </c>
      <c r="D33" s="75" t="s">
        <v>320</v>
      </c>
      <c r="E33" s="27" t="n">
        <f aca="false">IFERROR(SUMIFS(Fonte_Dati!I:I,Fonte_Dati!D:D,C33,Fonte_Dati!C:C,"Gennaio"),0)</f>
        <v>47349.2132220048</v>
      </c>
      <c r="F33" s="27" t="n">
        <f aca="false">IFERROR(SUMIFS(Fonte_Dati!I:I,Fonte_Dati!D:D,C33,Fonte_Dati!C:C,"Febbraio"),0)</f>
        <v>55932.9251204873</v>
      </c>
      <c r="G33" s="27" t="n">
        <f aca="false">IFERROR(SUMIFS(Fonte_Dati!I:I,Fonte_Dati!D:D,C33,Fonte_Dati!C:C,"Marzo"),0)</f>
        <v>0</v>
      </c>
      <c r="H33" s="43" t="n">
        <f aca="false">IFERROR(SUM(E33:G33),0)</f>
        <v>103282.138342492</v>
      </c>
      <c r="I33" s="114" t="n">
        <f aca="false">IFERROR(F33-E33,"")</f>
        <v>8583.7118984825</v>
      </c>
      <c r="J33" s="115" t="n">
        <f aca="false">IFERROR((F33-E33)/E33,"")</f>
        <v>0.181285206540525</v>
      </c>
      <c r="K33" s="27" t="n">
        <f aca="false">IFERROR(SUMIFS(Fonte_Dati!I:I,Fonte_Dati!D:D,C33)/SUMIFS(Fonte_Dati!F:F,Fonte_Dati!D:D,C33)*1000,0)</f>
        <v>90.4158755232055</v>
      </c>
      <c r="L33" s="116" t="n">
        <f aca="false">IFERROR(SUMIF('💹 Incentivi'!D8:D23,"*Batia*",'💹 Incentivi'!F8:F23),0)</f>
        <v>109614.078</v>
      </c>
      <c r="M33" s="116" t="n">
        <f aca="false">IFERROR(SUMIF('💹 Incentivi'!D8:D23,"*Batia*",'💹 Incentivi'!G8:G23),0)</f>
        <v>109614.078</v>
      </c>
      <c r="N33" s="116" t="n">
        <f aca="false">IFERROR(SUMIF('💹 Incentivi'!D8:D23,"*Batia*",'💹 Incentivi'!H8:H23),0)</f>
        <v>109614.078</v>
      </c>
      <c r="O33" s="117" t="n">
        <f aca="false">IFERROR(SUMIF('💹 Incentivi'!D28:D43,"*Batia*",'💹 Incentivi'!F28:F43),0)</f>
        <v>50249.2144</v>
      </c>
      <c r="P33" s="117" t="n">
        <f aca="false">IFERROR(SUMIF('💹 Incentivi'!D28:D43,"*Batia*",'💹 Incentivi'!G28:G43),0)</f>
        <v>88825.48885</v>
      </c>
      <c r="Q33" s="117" t="n">
        <f aca="false">IFERROR(SUMIF('💹 Incentivi'!D28:D43,"*Batia*",'💹 Incentivi'!H28:H43),0)</f>
        <v>0</v>
      </c>
      <c r="R33" s="43" t="n">
        <f aca="false">IFERROR(SUM(O33:Q33),0)</f>
        <v>139074.70325</v>
      </c>
      <c r="S33" s="25"/>
      <c r="T33" s="25"/>
      <c r="U33" s="25"/>
      <c r="V33" s="25"/>
      <c r="W33" s="25"/>
    </row>
    <row r="34" customFormat="false" ht="16.5" hidden="false" customHeight="true" outlineLevel="0" collapsed="false">
      <c r="B34" s="38" t="n">
        <v>7</v>
      </c>
      <c r="C34" s="22" t="s">
        <v>331</v>
      </c>
      <c r="D34" s="75" t="s">
        <v>320</v>
      </c>
      <c r="E34" s="24" t="n">
        <f aca="false">IFERROR(SUMIFS(Fonte_Dati!I:I,Fonte_Dati!D:D,C34,Fonte_Dati!C:C,"Gennaio"),0)</f>
        <v>43207.3128663706</v>
      </c>
      <c r="F34" s="24" t="n">
        <f aca="false">IFERROR(SUMIFS(Fonte_Dati!I:I,Fonte_Dati!D:D,C34,Fonte_Dati!C:C,"Febbraio"),0)</f>
        <v>34312.3719653263</v>
      </c>
      <c r="G34" s="24" t="n">
        <f aca="false">IFERROR(SUMIFS(Fonte_Dati!I:I,Fonte_Dati!D:D,C34,Fonte_Dati!C:C,"Marzo"),0)</f>
        <v>0</v>
      </c>
      <c r="H34" s="40" t="n">
        <f aca="false">IFERROR(SUM(E34:G34),0)</f>
        <v>77519.6848316969</v>
      </c>
      <c r="I34" s="112" t="n">
        <f aca="false">IFERROR(F34-E34,"")</f>
        <v>-8894.9409010443</v>
      </c>
      <c r="J34" s="113" t="n">
        <f aca="false">IFERROR((F34-E34)/E34,"")</f>
        <v>-0.205866560796181</v>
      </c>
      <c r="K34" s="24" t="n">
        <f aca="false">IFERROR(SUMIFS(Fonte_Dati!I:I,Fonte_Dati!D:D,C34)/SUMIFS(Fonte_Dati!F:F,Fonte_Dati!D:D,C34)*1000,0)</f>
        <v>96.269860166919</v>
      </c>
      <c r="L34" s="107" t="n">
        <f aca="false">IFERROR(SUMIF('💹 Incentivi'!D8:D23,"*Muxaro*",'💹 Incentivi'!F8:F23),0)</f>
        <v>208797.036</v>
      </c>
      <c r="M34" s="107" t="n">
        <f aca="false">IFERROR(SUMIF('💹 Incentivi'!D8:D23,"*Muxaro*",'💹 Incentivi'!G8:G23),0)</f>
        <v>208797.036</v>
      </c>
      <c r="N34" s="107" t="n">
        <f aca="false">IFERROR(SUMIF('💹 Incentivi'!D8:D23,"*Muxaro*",'💹 Incentivi'!H8:H23),0)</f>
        <v>208797.036</v>
      </c>
      <c r="O34" s="108" t="n">
        <f aca="false">IFERROR(SUMIF('💹 Incentivi'!D28:D43,"*Muxaro*",'💹 Incentivi'!F28:F43),0)</f>
        <v>116538.401</v>
      </c>
      <c r="P34" s="108" t="n">
        <f aca="false">IFERROR(SUMIF('💹 Incentivi'!D28:D43,"*Muxaro*",'💹 Incentivi'!G28:G43),0)</f>
        <v>140362.0218</v>
      </c>
      <c r="Q34" s="108" t="n">
        <f aca="false">IFERROR(SUMIF('💹 Incentivi'!D28:D43,"*Muxaro*",'💹 Incentivi'!H28:H43),0)</f>
        <v>0</v>
      </c>
      <c r="R34" s="40" t="n">
        <f aca="false">IFERROR(SUM(O34:Q34),0)</f>
        <v>256900.4228</v>
      </c>
      <c r="S34" s="25"/>
      <c r="T34" s="25"/>
      <c r="U34" s="25"/>
      <c r="V34" s="25"/>
      <c r="W34" s="25"/>
    </row>
    <row r="35" customFormat="false" ht="16.5" hidden="false" customHeight="true" outlineLevel="0" collapsed="false">
      <c r="B35" s="38" t="n">
        <v>8</v>
      </c>
      <c r="C35" s="22" t="s">
        <v>330</v>
      </c>
      <c r="D35" s="75" t="s">
        <v>320</v>
      </c>
      <c r="E35" s="27" t="n">
        <f aca="false">IFERROR(SUMIFS(Fonte_Dati!I:I,Fonte_Dati!D:D,C35,Fonte_Dati!C:C,"Gennaio"),0)</f>
        <v>41510.9201007957</v>
      </c>
      <c r="F35" s="27" t="n">
        <f aca="false">IFERROR(SUMIFS(Fonte_Dati!I:I,Fonte_Dati!D:D,C35,Fonte_Dati!C:C,"Febbraio"),0)</f>
        <v>34453.8553369004</v>
      </c>
      <c r="G35" s="27" t="n">
        <f aca="false">IFERROR(SUMIFS(Fonte_Dati!I:I,Fonte_Dati!D:D,C35,Fonte_Dati!C:C,"Marzo"),0)</f>
        <v>0</v>
      </c>
      <c r="H35" s="43" t="n">
        <f aca="false">IFERROR(SUM(E35:G35),0)</f>
        <v>75964.7754376961</v>
      </c>
      <c r="I35" s="114" t="n">
        <f aca="false">IFERROR(F35-E35,"")</f>
        <v>-7057.0647638953</v>
      </c>
      <c r="J35" s="115" t="n">
        <f aca="false">IFERROR((F35-E35)/E35,"")</f>
        <v>-0.17000501908316</v>
      </c>
      <c r="K35" s="27" t="n">
        <f aca="false">IFERROR(SUMIFS(Fonte_Dati!I:I,Fonte_Dati!D:D,C35)/SUMIFS(Fonte_Dati!F:F,Fonte_Dati!D:D,C35)*1000,0)</f>
        <v>95.1579933329703</v>
      </c>
      <c r="L35" s="116" t="n">
        <f aca="false">IFERROR(SUMIF('💹 Incentivi'!D8:D23,"*Narbone*",'💹 Incentivi'!F8:F23),0)</f>
        <v>382302.94</v>
      </c>
      <c r="M35" s="116" t="n">
        <f aca="false">IFERROR(SUMIF('💹 Incentivi'!D8:D23,"*Narbone*",'💹 Incentivi'!G8:G23),0)</f>
        <v>382302.94</v>
      </c>
      <c r="N35" s="116" t="n">
        <f aca="false">IFERROR(SUMIF('💹 Incentivi'!D8:D23,"*Narbone*",'💹 Incentivi'!H8:H23),0)</f>
        <v>382302.94</v>
      </c>
      <c r="O35" s="117" t="n">
        <f aca="false">IFERROR(SUMIF('💹 Incentivi'!D28:D43,"*Narbone*",'💹 Incentivi'!F28:F43),0)</f>
        <v>198419.78922</v>
      </c>
      <c r="P35" s="117" t="n">
        <f aca="false">IFERROR(SUMIF('💹 Incentivi'!D28:D43,"*Narbone*",'💹 Incentivi'!G28:G43),0)</f>
        <v>219860.99885</v>
      </c>
      <c r="Q35" s="117" t="n">
        <f aca="false">IFERROR(SUMIF('💹 Incentivi'!D28:D43,"*Narbone*",'💹 Incentivi'!H28:H43),0)</f>
        <v>0</v>
      </c>
      <c r="R35" s="43" t="n">
        <f aca="false">IFERROR(SUM(O35:Q35),0)</f>
        <v>418280.78807</v>
      </c>
      <c r="S35" s="25"/>
      <c r="T35" s="25"/>
      <c r="U35" s="25"/>
      <c r="V35" s="25"/>
      <c r="W35" s="25"/>
    </row>
    <row r="36" customFormat="false" ht="16.5" hidden="false" customHeight="true" outlineLevel="0" collapsed="false">
      <c r="B36" s="38" t="n">
        <v>9</v>
      </c>
      <c r="C36" s="22" t="s">
        <v>328</v>
      </c>
      <c r="D36" s="75" t="s">
        <v>320</v>
      </c>
      <c r="E36" s="24" t="n">
        <f aca="false">IFERROR(SUMIFS(Fonte_Dati!I:I,Fonte_Dati!D:D,C36,Fonte_Dati!C:C,"Gennaio"),0)</f>
        <v>25588.2117886285</v>
      </c>
      <c r="F36" s="24" t="n">
        <f aca="false">IFERROR(SUMIFS(Fonte_Dati!I:I,Fonte_Dati!D:D,C36,Fonte_Dati!C:C,"Febbraio"),0)</f>
        <v>25163.8934638279</v>
      </c>
      <c r="G36" s="24" t="n">
        <f aca="false">IFERROR(SUMIFS(Fonte_Dati!I:I,Fonte_Dati!D:D,C36,Fonte_Dati!C:C,"Marzo"),0)</f>
        <v>0</v>
      </c>
      <c r="H36" s="40" t="n">
        <f aca="false">IFERROR(SUM(E36:G36),0)</f>
        <v>50752.1052524564</v>
      </c>
      <c r="I36" s="112" t="n">
        <f aca="false">IFERROR(F36-E36,"")</f>
        <v>-424.318324800603</v>
      </c>
      <c r="J36" s="113" t="n">
        <f aca="false">IFERROR((F36-E36)/E36,"")</f>
        <v>-0.01658257045493</v>
      </c>
      <c r="K36" s="24" t="n">
        <f aca="false">IFERROR(SUMIFS(Fonte_Dati!I:I,Fonte_Dati!D:D,C36)/SUMIFS(Fonte_Dati!F:F,Fonte_Dati!D:D,C36)*1000,0)</f>
        <v>95.146684229728</v>
      </c>
      <c r="L36" s="107" t="n">
        <f aca="false">IFERROR(SUMIF('💹 Incentivi'!D8:D23,"*Perniciara*",'💹 Incentivi'!F8:F23),0)</f>
        <v>0</v>
      </c>
      <c r="M36" s="107" t="n">
        <f aca="false">IFERROR(SUMIF('💹 Incentivi'!D8:D23,"*Perniciara*",'💹 Incentivi'!G8:G23),0)</f>
        <v>0</v>
      </c>
      <c r="N36" s="107" t="n">
        <f aca="false">IFERROR(SUMIF('💹 Incentivi'!D8:D23,"*Perniciara*",'💹 Incentivi'!H8:H23),0)</f>
        <v>0</v>
      </c>
      <c r="O36" s="108" t="n">
        <f aca="false">IFERROR(SUMIF('💹 Incentivi'!D28:D43,"*Perniciara*",'💹 Incentivi'!F28:F43),0)</f>
        <v>0</v>
      </c>
      <c r="P36" s="108" t="n">
        <f aca="false">IFERROR(SUMIF('💹 Incentivi'!D28:D43,"*Perniciara*",'💹 Incentivi'!G28:G43),0)</f>
        <v>0</v>
      </c>
      <c r="Q36" s="108" t="n">
        <f aca="false">IFERROR(SUMIF('💹 Incentivi'!D28:D43,"*Perniciara*",'💹 Incentivi'!H28:H43),0)</f>
        <v>0</v>
      </c>
      <c r="R36" s="40" t="n">
        <f aca="false">IFERROR(SUM(O36:Q36),0)</f>
        <v>0</v>
      </c>
      <c r="S36" s="25"/>
      <c r="T36" s="25"/>
      <c r="U36" s="25"/>
      <c r="V36" s="25"/>
      <c r="W36" s="25"/>
    </row>
    <row r="37" customFormat="false" ht="16.5" hidden="false" customHeight="true" outlineLevel="0" collapsed="false">
      <c r="B37" s="38" t="n">
        <v>10</v>
      </c>
      <c r="C37" s="22" t="s">
        <v>329</v>
      </c>
      <c r="D37" s="75" t="s">
        <v>320</v>
      </c>
      <c r="E37" s="27" t="n">
        <f aca="false">IFERROR(SUMIFS(Fonte_Dati!I:I,Fonte_Dati!D:D,C37,Fonte_Dati!C:C,"Gennaio"),0)</f>
        <v>23980.6483718508</v>
      </c>
      <c r="F37" s="27" t="n">
        <f aca="false">IFERROR(SUMIFS(Fonte_Dati!I:I,Fonte_Dati!D:D,C37,Fonte_Dati!C:C,"Febbraio"),0)</f>
        <v>22499.5570757859</v>
      </c>
      <c r="G37" s="27" t="n">
        <f aca="false">IFERROR(SUMIFS(Fonte_Dati!I:I,Fonte_Dati!D:D,C37,Fonte_Dati!C:C,"Marzo"),0)</f>
        <v>0</v>
      </c>
      <c r="H37" s="43" t="n">
        <f aca="false">IFERROR(SUM(E37:G37),0)</f>
        <v>46480.2054476367</v>
      </c>
      <c r="I37" s="114" t="n">
        <f aca="false">IFERROR(F37-E37,"")</f>
        <v>-1481.0912960649</v>
      </c>
      <c r="J37" s="115" t="n">
        <f aca="false">IFERROR((F37-E37)/E37,"")</f>
        <v>-0.0617619370877165</v>
      </c>
      <c r="K37" s="27" t="n">
        <f aca="false">IFERROR(SUMIFS(Fonte_Dati!I:I,Fonte_Dati!D:D,C37)/SUMIFS(Fonte_Dati!F:F,Fonte_Dati!D:D,C37)*1000,0)</f>
        <v>95.2587570608671</v>
      </c>
      <c r="L37" s="116" t="n">
        <f aca="false">IFERROR(SUMIF('💹 Incentivi'!D8:D23,"*Gela*",'💹 Incentivi'!F8:F23),0)</f>
        <v>114608.19</v>
      </c>
      <c r="M37" s="116" t="n">
        <f aca="false">IFERROR(SUMIF('💹 Incentivi'!D8:D23,"*Gela*",'💹 Incentivi'!G8:G23),0)</f>
        <v>114608.19</v>
      </c>
      <c r="N37" s="116" t="n">
        <f aca="false">IFERROR(SUMIF('💹 Incentivi'!D8:D23,"*Gela*",'💹 Incentivi'!H8:H23),0)</f>
        <v>114608.19</v>
      </c>
      <c r="O37" s="117" t="n">
        <f aca="false">IFERROR(SUMIF('💹 Incentivi'!D28:D43,"*Gela*",'💹 Incentivi'!F28:F43),0)</f>
        <v>58189.5045</v>
      </c>
      <c r="P37" s="117" t="n">
        <f aca="false">IFERROR(SUMIF('💹 Incentivi'!D28:D43,"*Gela*",'💹 Incentivi'!G28:G43),0)</f>
        <v>80688.8865</v>
      </c>
      <c r="Q37" s="117" t="n">
        <f aca="false">IFERROR(SUMIF('💹 Incentivi'!D28:D43,"*Gela*",'💹 Incentivi'!H28:H43),0)</f>
        <v>0</v>
      </c>
      <c r="R37" s="43" t="n">
        <f aca="false">IFERROR(SUM(O37:Q37),0)</f>
        <v>138878.391</v>
      </c>
      <c r="S37" s="25"/>
      <c r="T37" s="25"/>
      <c r="U37" s="25"/>
      <c r="V37" s="25"/>
      <c r="W37" s="25"/>
    </row>
    <row r="38" customFormat="false" ht="16.5" hidden="false" customHeight="true" outlineLevel="0" collapsed="false">
      <c r="B38" s="38" t="n">
        <v>11</v>
      </c>
      <c r="C38" s="22" t="s">
        <v>324</v>
      </c>
      <c r="D38" s="75" t="s">
        <v>320</v>
      </c>
      <c r="E38" s="24" t="n">
        <f aca="false">IFERROR(SUMIFS(Fonte_Dati!I:I,Fonte_Dati!D:D,C38,Fonte_Dati!C:C,"Gennaio"),0)</f>
        <v>12258.1943328091</v>
      </c>
      <c r="F38" s="24" t="n">
        <f aca="false">IFERROR(SUMIFS(Fonte_Dati!I:I,Fonte_Dati!D:D,C38,Fonte_Dati!C:C,"Febbraio"),0)</f>
        <v>17411.1081120913</v>
      </c>
      <c r="G38" s="24" t="n">
        <f aca="false">IFERROR(SUMIFS(Fonte_Dati!I:I,Fonte_Dati!D:D,C38,Fonte_Dati!C:C,"Marzo"),0)</f>
        <v>0</v>
      </c>
      <c r="H38" s="40" t="n">
        <f aca="false">IFERROR(SUM(E38:G38),0)</f>
        <v>29669.3024449004</v>
      </c>
      <c r="I38" s="112" t="n">
        <f aca="false">IFERROR(F38-E38,"")</f>
        <v>5152.9137792822</v>
      </c>
      <c r="J38" s="113" t="n">
        <f aca="false">IFERROR((F38-E38)/E38,"")</f>
        <v>0.420364830201003</v>
      </c>
      <c r="K38" s="24" t="n">
        <f aca="false">IFERROR(SUMIFS(Fonte_Dati!I:I,Fonte_Dati!D:D,C38)/SUMIFS(Fonte_Dati!F:F,Fonte_Dati!D:D,C38)*1000,0)</f>
        <v>91.3263767171596</v>
      </c>
      <c r="L38" s="107" t="n">
        <f aca="false">IFERROR(SUMIF('💹 Incentivi'!D8:D23,"*Malvizzo*",'💹 Incentivi'!F8:F23),0)</f>
        <v>81201.01</v>
      </c>
      <c r="M38" s="107" t="n">
        <f aca="false">IFERROR(SUMIF('💹 Incentivi'!D8:D23,"*Malvizzo*",'💹 Incentivi'!G8:G23),0)</f>
        <v>81201.01</v>
      </c>
      <c r="N38" s="107" t="n">
        <f aca="false">IFERROR(SUMIF('💹 Incentivi'!D8:D23,"*Malvizzo*",'💹 Incentivi'!H8:H23),0)</f>
        <v>81201.01</v>
      </c>
      <c r="O38" s="108" t="n">
        <f aca="false">IFERROR(SUMIF('💹 Incentivi'!D28:D43,"*Malvizzo*",'💹 Incentivi'!F28:F43),0)</f>
        <v>28936.5099</v>
      </c>
      <c r="P38" s="108" t="n">
        <f aca="false">IFERROR(SUMIF('💹 Incentivi'!D28:D43,"*Malvizzo*",'💹 Incentivi'!G28:G43),0)</f>
        <v>53601.0751</v>
      </c>
      <c r="Q38" s="108" t="n">
        <f aca="false">IFERROR(SUMIF('💹 Incentivi'!D28:D43,"*Malvizzo*",'💹 Incentivi'!H28:H43),0)</f>
        <v>0</v>
      </c>
      <c r="R38" s="40" t="n">
        <f aca="false">IFERROR(SUM(O38:Q38),0)</f>
        <v>82537.585</v>
      </c>
      <c r="S38" s="25"/>
      <c r="T38" s="25"/>
      <c r="U38" s="25"/>
      <c r="V38" s="25"/>
      <c r="W38" s="25"/>
    </row>
    <row r="39" customFormat="false" ht="16.5" hidden="false" customHeight="true" outlineLevel="0" collapsed="false">
      <c r="B39" s="38" t="n">
        <v>12</v>
      </c>
      <c r="C39" s="22" t="s">
        <v>325</v>
      </c>
      <c r="D39" s="75" t="s">
        <v>320</v>
      </c>
      <c r="E39" s="27" t="n">
        <f aca="false">IFERROR(SUMIFS(Fonte_Dati!I:I,Fonte_Dati!D:D,C39,Fonte_Dati!C:C,"Gennaio"),0)</f>
        <v>12177.3350309719</v>
      </c>
      <c r="F39" s="27" t="n">
        <f aca="false">IFERROR(SUMIFS(Fonte_Dati!I:I,Fonte_Dati!D:D,C39,Fonte_Dati!C:C,"Febbraio"),0)</f>
        <v>16806.0839303371</v>
      </c>
      <c r="G39" s="27" t="n">
        <f aca="false">IFERROR(SUMIFS(Fonte_Dati!I:I,Fonte_Dati!D:D,C39,Fonte_Dati!C:C,"Marzo"),0)</f>
        <v>0</v>
      </c>
      <c r="H39" s="43" t="n">
        <f aca="false">IFERROR(SUM(E39:G39),0)</f>
        <v>28983.418961309</v>
      </c>
      <c r="I39" s="114" t="n">
        <f aca="false">IFERROR(F39-E39,"")</f>
        <v>4628.7488993652</v>
      </c>
      <c r="J39" s="115" t="n">
        <f aca="false">IFERROR((F39-E39)/E39,"")</f>
        <v>0.38011181326558</v>
      </c>
      <c r="K39" s="27" t="n">
        <f aca="false">IFERROR(SUMIFS(Fonte_Dati!I:I,Fonte_Dati!D:D,C39)/SUMIFS(Fonte_Dati!F:F,Fonte_Dati!D:D,C39)*1000,0)</f>
        <v>90.8015695422219</v>
      </c>
      <c r="L39" s="116" t="n">
        <f aca="false">IFERROR(SUMIF('💹 Incentivi'!D8:D23,"*Malvizzo a Terra*",'💹 Incentivi'!F8:F23),0)</f>
        <v>81201.01</v>
      </c>
      <c r="M39" s="116" t="n">
        <f aca="false">IFERROR(SUMIF('💹 Incentivi'!D8:D23,"*Malvizzo a Terra*",'💹 Incentivi'!G8:G23),0)</f>
        <v>81201.01</v>
      </c>
      <c r="N39" s="116" t="n">
        <f aca="false">IFERROR(SUMIF('💹 Incentivi'!D8:D23,"*Malvizzo a Terra*",'💹 Incentivi'!H8:H23),0)</f>
        <v>81201.01</v>
      </c>
      <c r="O39" s="117" t="n">
        <f aca="false">IFERROR(SUMIF('💹 Incentivi'!D28:D43,"*Malvizzo a Terra*",'💹 Incentivi'!F28:F43),0)</f>
        <v>28936.5099</v>
      </c>
      <c r="P39" s="117" t="n">
        <f aca="false">IFERROR(SUMIF('💹 Incentivi'!D28:D43,"*Malvizzo a Terra*",'💹 Incentivi'!G28:G43),0)</f>
        <v>53601.0751</v>
      </c>
      <c r="Q39" s="117" t="n">
        <f aca="false">IFERROR(SUMIF('💹 Incentivi'!D28:D43,"*Malvizzo a Terra*",'💹 Incentivi'!H28:H43),0)</f>
        <v>0</v>
      </c>
      <c r="R39" s="43" t="n">
        <f aca="false">IFERROR(SUM(O39:Q39),0)</f>
        <v>82537.585</v>
      </c>
      <c r="S39" s="25"/>
      <c r="T39" s="25"/>
      <c r="U39" s="25"/>
      <c r="V39" s="25"/>
      <c r="W39" s="25"/>
    </row>
    <row r="40" customFormat="false" ht="16.5" hidden="false" customHeight="true" outlineLevel="0" collapsed="false">
      <c r="B40" s="38" t="n">
        <v>13</v>
      </c>
      <c r="C40" s="22" t="s">
        <v>327</v>
      </c>
      <c r="D40" s="75" t="s">
        <v>320</v>
      </c>
      <c r="E40" s="24" t="n">
        <f aca="false">IFERROR(SUMIFS(Fonte_Dati!I:I,Fonte_Dati!D:D,C40,Fonte_Dati!C:C,"Gennaio"),0)</f>
        <v>8727.29469851368</v>
      </c>
      <c r="F40" s="24" t="n">
        <f aca="false">IFERROR(SUMIFS(Fonte_Dati!I:I,Fonte_Dati!D:D,C40,Fonte_Dati!C:C,"Febbraio"),0)</f>
        <v>0</v>
      </c>
      <c r="G40" s="24" t="n">
        <f aca="false">IFERROR(SUMIFS(Fonte_Dati!I:I,Fonte_Dati!D:D,C40,Fonte_Dati!C:C,"Marzo"),0)</f>
        <v>0</v>
      </c>
      <c r="H40" s="40" t="n">
        <f aca="false">IFERROR(SUM(E40:G40),0)</f>
        <v>8727.29469851368</v>
      </c>
      <c r="I40" s="112" t="n">
        <f aca="false">IFERROR(F40-E40,"")</f>
        <v>-8727.29469851368</v>
      </c>
      <c r="J40" s="113" t="n">
        <f aca="false">IFERROR((F40-E40)/E40,"")</f>
        <v>-1</v>
      </c>
      <c r="K40" s="24" t="n">
        <f aca="false">IFERROR(SUMIFS(Fonte_Dati!I:I,Fonte_Dati!D:D,C40)/SUMIFS(Fonte_Dati!F:F,Fonte_Dati!D:D,C40)*1000,0)</f>
        <v>115.006243257835</v>
      </c>
      <c r="L40" s="107" t="n">
        <f aca="false">IFERROR(SUMIF('💹 Incentivi'!D8:D23,"*Narbone a Terra*",'💹 Incentivi'!F8:F23),0)</f>
        <v>56234.888</v>
      </c>
      <c r="M40" s="107" t="n">
        <f aca="false">IFERROR(SUMIF('💹 Incentivi'!D8:D23,"*Narbone a Terra*",'💹 Incentivi'!G8:G23),0)</f>
        <v>56234.888</v>
      </c>
      <c r="N40" s="107" t="n">
        <f aca="false">IFERROR(SUMIF('💹 Incentivi'!D8:D23,"*Narbone a Terra*",'💹 Incentivi'!H8:H23),0)</f>
        <v>56234.888</v>
      </c>
      <c r="O40" s="108" t="n">
        <f aca="false">IFERROR(SUMIF('💹 Incentivi'!D28:D43,"*Narbone a Terra*",'💹 Incentivi'!F28:F43),0)</f>
        <v>24935.8233</v>
      </c>
      <c r="P40" s="108" t="n">
        <f aca="false">IFERROR(SUMIF('💹 Incentivi'!D28:D43,"*Narbone a Terra*",'💹 Incentivi'!G28:G43),0)</f>
        <v>0</v>
      </c>
      <c r="Q40" s="108" t="n">
        <f aca="false">IFERROR(SUMIF('💹 Incentivi'!D28:D43,"*Narbone a Terra*",'💹 Incentivi'!H28:H43),0)</f>
        <v>0</v>
      </c>
      <c r="R40" s="40" t="n">
        <f aca="false">IFERROR(SUM(O40:Q40),0)</f>
        <v>24935.8233</v>
      </c>
      <c r="S40" s="25"/>
      <c r="T40" s="25"/>
      <c r="U40" s="25"/>
      <c r="V40" s="25"/>
      <c r="W40" s="25"/>
    </row>
    <row r="41" customFormat="false" ht="16.5" hidden="false" customHeight="true" outlineLevel="0" collapsed="false">
      <c r="B41" s="38" t="n">
        <v>14</v>
      </c>
      <c r="C41" s="22" t="s">
        <v>326</v>
      </c>
      <c r="D41" s="75" t="s">
        <v>320</v>
      </c>
      <c r="E41" s="27" t="n">
        <f aca="false">IFERROR(SUMIFS(Fonte_Dati!I:I,Fonte_Dati!D:D,C41,Fonte_Dati!C:C,"Gennaio"),0)</f>
        <v>3863.68275857358</v>
      </c>
      <c r="F41" s="27" t="n">
        <f aca="false">IFERROR(SUMIFS(Fonte_Dati!I:I,Fonte_Dati!D:D,C41,Fonte_Dati!C:C,"Febbraio"),0)</f>
        <v>3523.17575838754</v>
      </c>
      <c r="G41" s="27" t="n">
        <f aca="false">IFERROR(SUMIFS(Fonte_Dati!I:I,Fonte_Dati!D:D,C41,Fonte_Dati!C:C,"Marzo"),0)</f>
        <v>0</v>
      </c>
      <c r="H41" s="43" t="n">
        <f aca="false">IFERROR(SUM(E41:G41),0)</f>
        <v>7386.85851696112</v>
      </c>
      <c r="I41" s="114" t="n">
        <f aca="false">IFERROR(F41-E41,"")</f>
        <v>-340.50700018604</v>
      </c>
      <c r="J41" s="115" t="n">
        <f aca="false">IFERROR((F41-E41)/E41,"")</f>
        <v>-0.0881301653016022</v>
      </c>
      <c r="K41" s="27" t="n">
        <f aca="false">IFERROR(SUMIFS(Fonte_Dati!I:I,Fonte_Dati!D:D,C41)/SUMIFS(Fonte_Dati!F:F,Fonte_Dati!D:D,C41)*1000,0)</f>
        <v>94.4581181929667</v>
      </c>
      <c r="L41" s="116" t="n">
        <f aca="false">IFERROR(SUMIF('💹 Incentivi'!D8:D23,"*Narbone Piccolo*",'💹 Incentivi'!F8:F23),0)</f>
        <v>0</v>
      </c>
      <c r="M41" s="116" t="n">
        <f aca="false">IFERROR(SUMIF('💹 Incentivi'!D8:D23,"*Narbone Piccolo*",'💹 Incentivi'!G8:G23),0)</f>
        <v>0</v>
      </c>
      <c r="N41" s="116" t="n">
        <f aca="false">IFERROR(SUMIF('💹 Incentivi'!D8:D23,"*Narbone Piccolo*",'💹 Incentivi'!H8:H23),0)</f>
        <v>0</v>
      </c>
      <c r="O41" s="117" t="n">
        <f aca="false">IFERROR(SUMIF('💹 Incentivi'!D28:D43,"*Narbone Piccolo*",'💹 Incentivi'!F28:F43),0)</f>
        <v>0</v>
      </c>
      <c r="P41" s="117" t="n">
        <f aca="false">IFERROR(SUMIF('💹 Incentivi'!D28:D43,"*Narbone Piccolo*",'💹 Incentivi'!G28:G43),0)</f>
        <v>0</v>
      </c>
      <c r="Q41" s="117" t="n">
        <f aca="false">IFERROR(SUMIF('💹 Incentivi'!D28:D43,"*Narbone Piccolo*",'💹 Incentivi'!H28:H43),0)</f>
        <v>0</v>
      </c>
      <c r="R41" s="43" t="n">
        <f aca="false">IFERROR(SUM(O41:Q41),0)</f>
        <v>0</v>
      </c>
      <c r="S41" s="25"/>
      <c r="T41" s="25"/>
      <c r="U41" s="25"/>
      <c r="V41" s="25"/>
      <c r="W41" s="25"/>
    </row>
    <row r="42" customFormat="false" ht="16.5" hidden="false" customHeight="true" outlineLevel="0" collapsed="false">
      <c r="B42" s="38" t="n">
        <v>15</v>
      </c>
      <c r="C42" s="22" t="s">
        <v>321</v>
      </c>
      <c r="D42" s="75" t="s">
        <v>320</v>
      </c>
      <c r="E42" s="24" t="n">
        <f aca="false">IFERROR(SUMIFS(Fonte_Dati!I:I,Fonte_Dati!D:D,C42,Fonte_Dati!C:C,"Gennaio"),0)</f>
        <v>3020.16043723657</v>
      </c>
      <c r="F42" s="24" t="n">
        <f aca="false">IFERROR(SUMIFS(Fonte_Dati!I:I,Fonte_Dati!D:D,C42,Fonte_Dati!C:C,"Febbraio"),0)</f>
        <v>3602.17801623392</v>
      </c>
      <c r="G42" s="24" t="n">
        <f aca="false">IFERROR(SUMIFS(Fonte_Dati!I:I,Fonte_Dati!D:D,C42,Fonte_Dati!C:C,"Marzo"),0)</f>
        <v>0</v>
      </c>
      <c r="H42" s="40" t="n">
        <f aca="false">IFERROR(SUM(E42:G42),0)</f>
        <v>6622.33845347049</v>
      </c>
      <c r="I42" s="112" t="n">
        <f aca="false">IFERROR(F42-E42,"")</f>
        <v>582.01757899735</v>
      </c>
      <c r="J42" s="113" t="n">
        <f aca="false">IFERROR((F42-E42)/E42,"")</f>
        <v>0.192710814902897</v>
      </c>
      <c r="K42" s="24" t="n">
        <f aca="false">IFERROR(SUMIFS(Fonte_Dati!I:I,Fonte_Dati!D:D,C42)/SUMIFS(Fonte_Dati!F:F,Fonte_Dati!D:D,C42)*1000,0)</f>
        <v>91.5597359113744</v>
      </c>
      <c r="L42" s="107" t="n">
        <f aca="false">IFERROR(SUMIF('💹 Incentivi'!D8:D23,"*Campofranco*",'💹 Incentivi'!F8:F23),0)</f>
        <v>33285.016</v>
      </c>
      <c r="M42" s="107" t="n">
        <f aca="false">IFERROR(SUMIF('💹 Incentivi'!D8:D23,"*Campofranco*",'💹 Incentivi'!G8:G23),0)</f>
        <v>33285.016</v>
      </c>
      <c r="N42" s="107" t="n">
        <f aca="false">IFERROR(SUMIF('💹 Incentivi'!D8:D23,"*Campofranco*",'💹 Incentivi'!H8:H23),0)</f>
        <v>33285.016</v>
      </c>
      <c r="O42" s="108" t="n">
        <f aca="false">IFERROR(SUMIF('💹 Incentivi'!D28:D43,"*Campofranco*",'💹 Incentivi'!F28:F43),0)</f>
        <v>14054.2536</v>
      </c>
      <c r="P42" s="108" t="n">
        <f aca="false">IFERROR(SUMIF('💹 Incentivi'!D28:D43,"*Campofranco*",'💹 Incentivi'!G28:G43),0)</f>
        <v>25307.0456</v>
      </c>
      <c r="Q42" s="108" t="n">
        <f aca="false">IFERROR(SUMIF('💹 Incentivi'!D28:D43,"*Campofranco*",'💹 Incentivi'!H28:H43),0)</f>
        <v>0</v>
      </c>
      <c r="R42" s="40" t="n">
        <f aca="false">IFERROR(SUM(O42:Q42),0)</f>
        <v>39361.2992</v>
      </c>
      <c r="S42" s="25"/>
      <c r="T42" s="25"/>
      <c r="U42" s="25"/>
      <c r="V42" s="25"/>
      <c r="W42" s="25"/>
    </row>
    <row r="43" customFormat="false" ht="16.5" hidden="false" customHeight="true" outlineLevel="0" collapsed="false">
      <c r="B43" s="38" t="n">
        <v>16</v>
      </c>
      <c r="C43" s="22" t="s">
        <v>332</v>
      </c>
      <c r="D43" s="75" t="s">
        <v>320</v>
      </c>
      <c r="E43" s="27" t="n">
        <f aca="false">IFERROR(SUMIFS(Fonte_Dati!I:I,Fonte_Dati!D:D,C43,Fonte_Dati!C:C,"Gennaio"),0)</f>
        <v>899.166685374345</v>
      </c>
      <c r="F43" s="27" t="n">
        <f aca="false">IFERROR(SUMIFS(Fonte_Dati!I:I,Fonte_Dati!D:D,C43,Fonte_Dati!C:C,"Febbraio"),0)</f>
        <v>925.899997760007</v>
      </c>
      <c r="G43" s="27" t="n">
        <f aca="false">IFERROR(SUMIFS(Fonte_Dati!I:I,Fonte_Dati!D:D,C43,Fonte_Dati!C:C,"Marzo"),0)</f>
        <v>0</v>
      </c>
      <c r="H43" s="43" t="n">
        <f aca="false">IFERROR(SUM(E43:G43),0)</f>
        <v>1825.06668313435</v>
      </c>
      <c r="I43" s="114" t="n">
        <f aca="false">IFERROR(F43-E43,"")</f>
        <v>26.733312385662</v>
      </c>
      <c r="J43" s="115" t="n">
        <f aca="false">IFERROR((F43-E43)/E43,"")</f>
        <v>0.0297312087074626</v>
      </c>
      <c r="K43" s="27" t="n">
        <f aca="false">IFERROR(SUMIFS(Fonte_Dati!I:I,Fonte_Dati!D:D,C43)/SUMIFS(Fonte_Dati!F:F,Fonte_Dati!D:D,C43)*1000,0)</f>
        <v>93.0821989603123</v>
      </c>
      <c r="L43" s="116" t="n">
        <f aca="false">IFERROR(SUMIF('💹 Incentivi'!D8:D23,"*Tumarrano*",'💹 Incentivi'!F8:F23),0)</f>
        <v>5264.18048</v>
      </c>
      <c r="M43" s="116" t="n">
        <f aca="false">IFERROR(SUMIF('💹 Incentivi'!D8:D23,"*Tumarrano*",'💹 Incentivi'!G8:G23),0)</f>
        <v>0</v>
      </c>
      <c r="N43" s="116" t="n">
        <f aca="false">IFERROR(SUMIF('💹 Incentivi'!D8:D23,"*Tumarrano*",'💹 Incentivi'!H8:H23),0)</f>
        <v>0</v>
      </c>
      <c r="O43" s="117" t="n">
        <f aca="false">IFERROR(SUMIF('💹 Incentivi'!D28:D43,"*Tumarrano*",'💹 Incentivi'!F28:F43),0)</f>
        <v>9292.1037678</v>
      </c>
      <c r="P43" s="117" t="n">
        <f aca="false">IFERROR(SUMIF('💹 Incentivi'!D28:D43,"*Tumarrano*",'💹 Incentivi'!G28:G43),0)</f>
        <v>12341.8094794</v>
      </c>
      <c r="Q43" s="117" t="n">
        <f aca="false">IFERROR(SUMIF('💹 Incentivi'!D28:D43,"*Tumarrano*",'💹 Incentivi'!H28:H43),0)</f>
        <v>0</v>
      </c>
      <c r="R43" s="43" t="n">
        <f aca="false">IFERROR(SUM(O43:Q43),0)</f>
        <v>21633.9132472</v>
      </c>
      <c r="S43" s="25"/>
      <c r="T43" s="25"/>
      <c r="U43" s="25"/>
      <c r="V43" s="25"/>
      <c r="W43" s="25"/>
    </row>
    <row r="44" customFormat="false" ht="21.75" hidden="false" customHeight="true" outlineLevel="0" collapsed="false">
      <c r="B44" s="98" t="s">
        <v>519</v>
      </c>
      <c r="C44" s="98"/>
      <c r="D44" s="98"/>
      <c r="E44" s="29" t="n">
        <f aca="false">SUM(E28:E43)</f>
        <v>1674042.97911676</v>
      </c>
      <c r="F44" s="29" t="n">
        <f aca="false">SUM(F28:F43)</f>
        <v>1453027.56897561</v>
      </c>
      <c r="G44" s="29" t="n">
        <f aca="false">SUM(G28:G43)</f>
        <v>157.753079166186</v>
      </c>
      <c r="H44" s="29" t="n">
        <f aca="false">SUM(H28:H43)</f>
        <v>3127228.30117153</v>
      </c>
      <c r="I44" s="118" t="n">
        <f aca="false">IFERROR(F44-E44,"")</f>
        <v>-221015.410141148</v>
      </c>
      <c r="J44" s="119" t="n">
        <f aca="false">IFERROR((F44-E44)/E44,"")</f>
        <v>-0.132024931795812</v>
      </c>
      <c r="K44" s="29" t="n">
        <f aca="false">SUM(K28:K43)</f>
        <v>1578.6044477823</v>
      </c>
      <c r="L44" s="29" t="n">
        <f aca="false">SUM(L28:L43)</f>
        <v>1536012.29848</v>
      </c>
      <c r="M44" s="29" t="n">
        <f aca="false">SUM(M28:M43)</f>
        <v>1530748.118</v>
      </c>
      <c r="N44" s="29" t="n">
        <f aca="false">SUM(N28:N43)</f>
        <v>1530748.118</v>
      </c>
      <c r="O44" s="29" t="n">
        <f aca="false">SUM(O28:O43)</f>
        <v>756908.4087078</v>
      </c>
      <c r="P44" s="29" t="n">
        <f aca="false">SUM(P28:P43)</f>
        <v>948050.4752294</v>
      </c>
      <c r="Q44" s="29" t="n">
        <f aca="false">SUM(Q28:Q43)</f>
        <v>0</v>
      </c>
      <c r="R44" s="29" t="n">
        <f aca="false">SUM(R28:R43)</f>
        <v>1704958.8839372</v>
      </c>
      <c r="S44" s="25"/>
      <c r="T44" s="25"/>
      <c r="U44" s="25"/>
      <c r="V44" s="25"/>
      <c r="W44" s="25"/>
    </row>
    <row r="45" customFormat="false" ht="15" hidden="false" customHeight="true" outlineLevel="0" collapsed="false"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</row>
  </sheetData>
  <mergeCells count="6">
    <mergeCell ref="B1:K3"/>
    <mergeCell ref="B4:K4"/>
    <mergeCell ref="B5:O5"/>
    <mergeCell ref="B24:D24"/>
    <mergeCell ref="B26:R26"/>
    <mergeCell ref="B44:D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8C00"/>
    <pageSetUpPr fitToPage="false"/>
  </sheetPr>
  <dimension ref="A1:W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"/>
    <col collapsed="false" customWidth="true" hidden="false" outlineLevel="0" max="3" min="3" style="1" width="26"/>
    <col collapsed="false" customWidth="true" hidden="false" outlineLevel="0" max="6" min="4" style="1" width="14"/>
    <col collapsed="false" customWidth="true" hidden="false" outlineLevel="0" max="20" min="7" style="1" width="9"/>
    <col collapsed="false" customWidth="true" hidden="false" outlineLevel="0" max="22" min="21" style="1" width="10"/>
    <col collapsed="false" customWidth="true" hidden="false" outlineLevel="0" max="23" min="23" style="1" width="14"/>
  </cols>
  <sheetData>
    <row r="1" customFormat="false" ht="15" hidden="false" customHeight="true" outlineLevel="0" collapsed="false">
      <c r="B1" s="17" t="s">
        <v>520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customFormat="false" ht="15" hidden="false" customHeight="true" outlineLevel="0" collapsed="false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</row>
    <row r="3" customFormat="false" ht="15" hidden="false" customHeight="true" outlineLevel="0" collapsed="false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</row>
    <row r="4" customFormat="false" ht="15" hidden="false" customHeight="true" outlineLevel="0" collapsed="false">
      <c r="B4" s="18" t="s">
        <v>521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</row>
    <row r="6" customFormat="false" ht="15" hidden="false" customHeight="true" outlineLevel="0" collapsed="false">
      <c r="B6" s="120" t="s">
        <v>522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</row>
    <row r="7" customFormat="false" ht="15" hidden="false" customHeight="true" outlineLevel="0" collapsed="false">
      <c r="B7" s="121" t="s">
        <v>523</v>
      </c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</row>
    <row r="8" customFormat="false" ht="27.75" hidden="false" customHeight="true" outlineLevel="0" collapsed="false">
      <c r="B8" s="20" t="s">
        <v>345</v>
      </c>
      <c r="C8" s="20" t="s">
        <v>310</v>
      </c>
      <c r="D8" s="20" t="s">
        <v>317</v>
      </c>
      <c r="E8" s="20" t="s">
        <v>524</v>
      </c>
      <c r="F8" s="20" t="s">
        <v>525</v>
      </c>
      <c r="G8" s="20" t="s">
        <v>526</v>
      </c>
      <c r="H8" s="20" t="s">
        <v>527</v>
      </c>
    </row>
    <row r="9" customFormat="false" ht="18" hidden="false" customHeight="true" outlineLevel="0" collapsed="false">
      <c r="B9" s="38" t="n">
        <v>1</v>
      </c>
      <c r="C9" s="22" t="s">
        <v>319</v>
      </c>
      <c r="D9" s="75" t="s">
        <v>320</v>
      </c>
      <c r="E9" s="122" t="n">
        <v>37.23675</v>
      </c>
      <c r="F9" s="122" t="n">
        <v>13.742667</v>
      </c>
      <c r="G9" s="123" t="n">
        <v>30</v>
      </c>
      <c r="H9" s="123" t="n">
        <v>0</v>
      </c>
    </row>
    <row r="10" customFormat="false" ht="18" hidden="false" customHeight="true" outlineLevel="0" collapsed="false">
      <c r="B10" s="38" t="n">
        <v>2</v>
      </c>
      <c r="C10" s="22" t="s">
        <v>321</v>
      </c>
      <c r="D10" s="75" t="s">
        <v>320</v>
      </c>
      <c r="E10" s="122" t="n">
        <v>37.497556</v>
      </c>
      <c r="F10" s="122" t="n">
        <v>13.692333</v>
      </c>
      <c r="G10" s="123" t="n">
        <v>4</v>
      </c>
      <c r="H10" s="123" t="n">
        <v>-23</v>
      </c>
    </row>
    <row r="11" customFormat="false" ht="18" hidden="false" customHeight="true" outlineLevel="0" collapsed="false">
      <c r="B11" s="38" t="n">
        <v>3</v>
      </c>
      <c r="C11" s="22" t="s">
        <v>322</v>
      </c>
      <c r="D11" s="75" t="s">
        <v>320</v>
      </c>
      <c r="E11" s="122" t="n">
        <v>37.343611</v>
      </c>
      <c r="F11" s="122" t="n">
        <v>13.476417</v>
      </c>
      <c r="G11" s="123" t="n">
        <v>15</v>
      </c>
      <c r="H11" s="123" t="n">
        <v>-13</v>
      </c>
    </row>
    <row r="12" customFormat="false" ht="18" hidden="false" customHeight="true" outlineLevel="0" collapsed="false">
      <c r="B12" s="38" t="n">
        <v>4</v>
      </c>
      <c r="C12" s="22" t="s">
        <v>323</v>
      </c>
      <c r="D12" s="75" t="s">
        <v>320</v>
      </c>
      <c r="E12" s="122" t="n">
        <v>37.362222</v>
      </c>
      <c r="F12" s="122" t="n">
        <v>13.639111</v>
      </c>
      <c r="G12" s="123" t="n">
        <v>30</v>
      </c>
      <c r="H12" s="123" t="n">
        <v>0</v>
      </c>
    </row>
    <row r="13" customFormat="false" ht="18" hidden="false" customHeight="true" outlineLevel="0" collapsed="false">
      <c r="B13" s="38" t="n">
        <v>5</v>
      </c>
      <c r="C13" s="22" t="s">
        <v>324</v>
      </c>
      <c r="D13" s="75" t="s">
        <v>320</v>
      </c>
      <c r="E13" s="122" t="n">
        <v>37.26525</v>
      </c>
      <c r="F13" s="122" t="n">
        <v>13.711694</v>
      </c>
      <c r="G13" s="123" t="n">
        <v>30</v>
      </c>
      <c r="H13" s="123" t="n">
        <v>0</v>
      </c>
    </row>
    <row r="14" customFormat="false" ht="18" hidden="false" customHeight="true" outlineLevel="0" collapsed="false">
      <c r="B14" s="38" t="n">
        <v>6</v>
      </c>
      <c r="C14" s="22" t="s">
        <v>325</v>
      </c>
      <c r="D14" s="75" t="s">
        <v>320</v>
      </c>
      <c r="E14" s="122" t="n">
        <v>37.260694</v>
      </c>
      <c r="F14" s="122" t="n">
        <v>13.699972</v>
      </c>
      <c r="G14" s="123" t="n">
        <v>30</v>
      </c>
      <c r="H14" s="123" t="n">
        <v>0</v>
      </c>
    </row>
    <row r="15" customFormat="false" ht="18" hidden="false" customHeight="true" outlineLevel="0" collapsed="false">
      <c r="B15" s="38" t="n">
        <v>7</v>
      </c>
      <c r="C15" s="22" t="s">
        <v>326</v>
      </c>
      <c r="D15" s="75" t="s">
        <v>320</v>
      </c>
      <c r="E15" s="122" t="n">
        <v>37.233611</v>
      </c>
      <c r="F15" s="122" t="n">
        <v>13.726</v>
      </c>
      <c r="G15" s="123" t="n">
        <v>30</v>
      </c>
      <c r="H15" s="123" t="n">
        <v>0</v>
      </c>
    </row>
    <row r="16" customFormat="false" ht="18" hidden="false" customHeight="true" outlineLevel="0" collapsed="false">
      <c r="B16" s="38" t="n">
        <v>8</v>
      </c>
      <c r="C16" s="22" t="s">
        <v>327</v>
      </c>
      <c r="D16" s="75" t="s">
        <v>320</v>
      </c>
      <c r="E16" s="122" t="n">
        <v>37.231722</v>
      </c>
      <c r="F16" s="122" t="n">
        <v>13.725722</v>
      </c>
      <c r="G16" s="123" t="n">
        <v>30</v>
      </c>
      <c r="H16" s="123" t="n">
        <v>0</v>
      </c>
    </row>
    <row r="17" customFormat="false" ht="18" hidden="false" customHeight="true" outlineLevel="0" collapsed="false">
      <c r="B17" s="38" t="n">
        <v>9</v>
      </c>
      <c r="C17" s="22" t="s">
        <v>328</v>
      </c>
      <c r="D17" s="75" t="s">
        <v>320</v>
      </c>
      <c r="E17" s="122" t="n">
        <v>37.369417</v>
      </c>
      <c r="F17" s="122" t="n">
        <v>13.645139</v>
      </c>
      <c r="G17" s="123" t="n">
        <v>30</v>
      </c>
      <c r="H17" s="123" t="n">
        <v>0</v>
      </c>
    </row>
    <row r="18" customFormat="false" ht="18" hidden="false" customHeight="true" outlineLevel="0" collapsed="false">
      <c r="B18" s="38" t="n">
        <v>10</v>
      </c>
      <c r="C18" s="22" t="s">
        <v>329</v>
      </c>
      <c r="D18" s="75" t="s">
        <v>320</v>
      </c>
      <c r="E18" s="122" t="n">
        <v>37.063222</v>
      </c>
      <c r="F18" s="122" t="n">
        <v>14.391556</v>
      </c>
      <c r="G18" s="123" t="n">
        <v>17</v>
      </c>
      <c r="H18" s="123" t="n">
        <v>0</v>
      </c>
    </row>
    <row r="19" customFormat="false" ht="18" hidden="false" customHeight="true" outlineLevel="0" collapsed="false">
      <c r="B19" s="38" t="n">
        <v>11</v>
      </c>
      <c r="C19" s="22" t="s">
        <v>330</v>
      </c>
      <c r="D19" s="75" t="s">
        <v>320</v>
      </c>
      <c r="E19" s="122" t="n">
        <v>37.218528</v>
      </c>
      <c r="F19" s="122" t="n">
        <v>13.719556</v>
      </c>
      <c r="G19" s="123" t="n">
        <v>17</v>
      </c>
      <c r="H19" s="123" t="n">
        <v>0</v>
      </c>
    </row>
    <row r="20" customFormat="false" ht="18" hidden="false" customHeight="true" outlineLevel="0" collapsed="false">
      <c r="B20" s="38" t="n">
        <v>12</v>
      </c>
      <c r="C20" s="22" t="s">
        <v>331</v>
      </c>
      <c r="D20" s="75" t="s">
        <v>320</v>
      </c>
      <c r="E20" s="122" t="n">
        <v>37.485972</v>
      </c>
      <c r="F20" s="122" t="n">
        <v>13.576306</v>
      </c>
      <c r="G20" s="123" t="n">
        <v>20</v>
      </c>
      <c r="H20" s="123" t="n">
        <v>0</v>
      </c>
    </row>
    <row r="21" customFormat="false" ht="18" hidden="false" customHeight="true" outlineLevel="0" collapsed="false">
      <c r="B21" s="38" t="n">
        <v>13</v>
      </c>
      <c r="C21" s="22" t="s">
        <v>332</v>
      </c>
      <c r="D21" s="75" t="s">
        <v>320</v>
      </c>
      <c r="E21" s="122" t="n">
        <v>37.627306</v>
      </c>
      <c r="F21" s="122" t="n">
        <v>13.719861</v>
      </c>
      <c r="G21" s="123" t="n">
        <v>30</v>
      </c>
      <c r="H21" s="123" t="n">
        <v>0</v>
      </c>
    </row>
    <row r="22" customFormat="false" ht="18" hidden="false" customHeight="true" outlineLevel="0" collapsed="false">
      <c r="B22" s="38" t="n">
        <v>14</v>
      </c>
      <c r="C22" s="22" t="s">
        <v>333</v>
      </c>
      <c r="D22" s="71" t="s">
        <v>334</v>
      </c>
      <c r="E22" s="122" t="n">
        <v>37.178472</v>
      </c>
      <c r="F22" s="122" t="n">
        <v>13.854333</v>
      </c>
      <c r="G22" s="123" t="n">
        <v>0</v>
      </c>
      <c r="H22" s="123" t="n">
        <v>0</v>
      </c>
    </row>
    <row r="23" customFormat="false" ht="18" hidden="false" customHeight="true" outlineLevel="0" collapsed="false">
      <c r="B23" s="38" t="n">
        <v>15</v>
      </c>
      <c r="C23" s="22" t="s">
        <v>335</v>
      </c>
      <c r="D23" s="71" t="s">
        <v>334</v>
      </c>
      <c r="E23" s="122" t="n">
        <v>37.27075</v>
      </c>
      <c r="F23" s="122" t="n">
        <v>13.71225</v>
      </c>
      <c r="G23" s="123" t="n">
        <v>0</v>
      </c>
      <c r="H23" s="123" t="n">
        <v>0</v>
      </c>
    </row>
    <row r="24" customFormat="false" ht="18" hidden="false" customHeight="true" outlineLevel="0" collapsed="false">
      <c r="B24" s="38" t="n">
        <v>16</v>
      </c>
      <c r="C24" s="22" t="s">
        <v>336</v>
      </c>
      <c r="D24" s="71" t="s">
        <v>334</v>
      </c>
      <c r="E24" s="122" t="n">
        <v>37.225917</v>
      </c>
      <c r="F24" s="122" t="n">
        <v>13.723556</v>
      </c>
      <c r="G24" s="123" t="n">
        <v>0</v>
      </c>
      <c r="H24" s="123" t="n">
        <v>0</v>
      </c>
    </row>
    <row r="27" customFormat="false" ht="30" hidden="false" customHeight="true" outlineLevel="0" collapsed="false">
      <c r="B27" s="124" t="s">
        <v>528</v>
      </c>
      <c r="C27" s="124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4"/>
      <c r="R27" s="124"/>
      <c r="S27" s="124"/>
    </row>
    <row r="28" customFormat="false" ht="15" hidden="false" customHeight="true" outlineLevel="0" collapsed="false">
      <c r="B28" s="125" t="s">
        <v>529</v>
      </c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</row>
    <row r="29" customFormat="false" ht="27.75" hidden="false" customHeight="true" outlineLevel="0" collapsed="false">
      <c r="B29" s="20" t="s">
        <v>345</v>
      </c>
      <c r="C29" s="20" t="s">
        <v>310</v>
      </c>
      <c r="D29" s="20" t="s">
        <v>317</v>
      </c>
      <c r="E29" s="36" t="s">
        <v>530</v>
      </c>
      <c r="F29" s="36" t="s">
        <v>531</v>
      </c>
      <c r="G29" s="36" t="s">
        <v>532</v>
      </c>
      <c r="H29" s="36" t="s">
        <v>533</v>
      </c>
      <c r="I29" s="36" t="s">
        <v>534</v>
      </c>
      <c r="J29" s="36" t="s">
        <v>535</v>
      </c>
      <c r="K29" s="36" t="s">
        <v>536</v>
      </c>
      <c r="L29" s="36" t="s">
        <v>537</v>
      </c>
      <c r="M29" s="36" t="s">
        <v>538</v>
      </c>
      <c r="N29" s="36" t="s">
        <v>539</v>
      </c>
      <c r="O29" s="36" t="s">
        <v>540</v>
      </c>
      <c r="P29" s="36" t="s">
        <v>541</v>
      </c>
      <c r="Q29" s="20" t="s">
        <v>542</v>
      </c>
      <c r="R29" s="20" t="s">
        <v>543</v>
      </c>
      <c r="S29" s="20" t="s">
        <v>544</v>
      </c>
    </row>
    <row r="30" customFormat="false" ht="18" hidden="false" customHeight="true" outlineLevel="0" collapsed="false">
      <c r="B30" s="38" t="n">
        <v>1</v>
      </c>
      <c r="C30" s="22" t="s">
        <v>319</v>
      </c>
      <c r="D30" s="75" t="s">
        <v>320</v>
      </c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7" t="n">
        <f aca="false">IFERROR(SUM(E30:P30),"")</f>
        <v>0</v>
      </c>
      <c r="R30" s="41" t="s">
        <v>545</v>
      </c>
      <c r="S30" s="41"/>
    </row>
    <row r="31" customFormat="false" ht="18" hidden="false" customHeight="true" outlineLevel="0" collapsed="false">
      <c r="B31" s="38" t="n">
        <v>2</v>
      </c>
      <c r="C31" s="22" t="s">
        <v>321</v>
      </c>
      <c r="D31" s="75" t="s">
        <v>320</v>
      </c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7" t="n">
        <f aca="false">IFERROR(SUM(E31:P31),"")</f>
        <v>0</v>
      </c>
      <c r="R31" s="41" t="s">
        <v>545</v>
      </c>
      <c r="S31" s="44"/>
    </row>
    <row r="32" customFormat="false" ht="18" hidden="false" customHeight="true" outlineLevel="0" collapsed="false">
      <c r="B32" s="38" t="n">
        <v>3</v>
      </c>
      <c r="C32" s="22" t="s">
        <v>322</v>
      </c>
      <c r="D32" s="75" t="s">
        <v>320</v>
      </c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7" t="n">
        <f aca="false">IFERROR(SUM(E32:P32),"")</f>
        <v>0</v>
      </c>
      <c r="R32" s="41" t="s">
        <v>545</v>
      </c>
      <c r="S32" s="41"/>
    </row>
    <row r="33" customFormat="false" ht="18" hidden="false" customHeight="true" outlineLevel="0" collapsed="false">
      <c r="B33" s="38" t="n">
        <v>4</v>
      </c>
      <c r="C33" s="22" t="s">
        <v>323</v>
      </c>
      <c r="D33" s="75" t="s">
        <v>320</v>
      </c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7" t="n">
        <f aca="false">IFERROR(SUM(E33:P33),"")</f>
        <v>0</v>
      </c>
      <c r="R33" s="41" t="s">
        <v>545</v>
      </c>
      <c r="S33" s="44"/>
    </row>
    <row r="34" customFormat="false" ht="18" hidden="false" customHeight="true" outlineLevel="0" collapsed="false">
      <c r="B34" s="38" t="n">
        <v>5</v>
      </c>
      <c r="C34" s="22" t="s">
        <v>324</v>
      </c>
      <c r="D34" s="75" t="s">
        <v>320</v>
      </c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7" t="n">
        <f aca="false">IFERROR(SUM(E34:P34),"")</f>
        <v>0</v>
      </c>
      <c r="R34" s="41" t="s">
        <v>545</v>
      </c>
      <c r="S34" s="41"/>
    </row>
    <row r="35" customFormat="false" ht="18" hidden="false" customHeight="true" outlineLevel="0" collapsed="false">
      <c r="B35" s="38" t="n">
        <v>6</v>
      </c>
      <c r="C35" s="22" t="s">
        <v>325</v>
      </c>
      <c r="D35" s="75" t="s">
        <v>320</v>
      </c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7" t="n">
        <f aca="false">IFERROR(SUM(E35:P35),"")</f>
        <v>0</v>
      </c>
      <c r="R35" s="41" t="s">
        <v>545</v>
      </c>
      <c r="S35" s="44"/>
    </row>
    <row r="36" customFormat="false" ht="18" hidden="false" customHeight="true" outlineLevel="0" collapsed="false">
      <c r="B36" s="38" t="n">
        <v>7</v>
      </c>
      <c r="C36" s="22" t="s">
        <v>326</v>
      </c>
      <c r="D36" s="75" t="s">
        <v>320</v>
      </c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7" t="n">
        <f aca="false">IFERROR(SUM(E36:P36),"")</f>
        <v>0</v>
      </c>
      <c r="R36" s="41" t="s">
        <v>545</v>
      </c>
      <c r="S36" s="41"/>
    </row>
    <row r="37" customFormat="false" ht="18" hidden="false" customHeight="true" outlineLevel="0" collapsed="false">
      <c r="B37" s="38" t="n">
        <v>8</v>
      </c>
      <c r="C37" s="22" t="s">
        <v>327</v>
      </c>
      <c r="D37" s="75" t="s">
        <v>320</v>
      </c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7" t="n">
        <f aca="false">IFERROR(SUM(E37:P37),"")</f>
        <v>0</v>
      </c>
      <c r="R37" s="41" t="s">
        <v>545</v>
      </c>
      <c r="S37" s="44"/>
    </row>
    <row r="38" customFormat="false" ht="18" hidden="false" customHeight="true" outlineLevel="0" collapsed="false">
      <c r="B38" s="38" t="n">
        <v>9</v>
      </c>
      <c r="C38" s="22" t="s">
        <v>328</v>
      </c>
      <c r="D38" s="75" t="s">
        <v>320</v>
      </c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7" t="n">
        <f aca="false">IFERROR(SUM(E38:P38),"")</f>
        <v>0</v>
      </c>
      <c r="R38" s="41" t="s">
        <v>545</v>
      </c>
      <c r="S38" s="41"/>
    </row>
    <row r="39" customFormat="false" ht="18" hidden="false" customHeight="true" outlineLevel="0" collapsed="false">
      <c r="B39" s="38" t="n">
        <v>10</v>
      </c>
      <c r="C39" s="22" t="s">
        <v>329</v>
      </c>
      <c r="D39" s="75" t="s">
        <v>320</v>
      </c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7" t="n">
        <f aca="false">IFERROR(SUM(E39:P39),"")</f>
        <v>0</v>
      </c>
      <c r="R39" s="41" t="s">
        <v>545</v>
      </c>
      <c r="S39" s="44"/>
    </row>
    <row r="40" customFormat="false" ht="18" hidden="false" customHeight="true" outlineLevel="0" collapsed="false">
      <c r="B40" s="38" t="n">
        <v>11</v>
      </c>
      <c r="C40" s="22" t="s">
        <v>330</v>
      </c>
      <c r="D40" s="75" t="s">
        <v>320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7" t="n">
        <f aca="false">IFERROR(SUM(E40:P40),"")</f>
        <v>0</v>
      </c>
      <c r="R40" s="41" t="s">
        <v>545</v>
      </c>
      <c r="S40" s="41"/>
    </row>
    <row r="41" customFormat="false" ht="18" hidden="false" customHeight="true" outlineLevel="0" collapsed="false">
      <c r="B41" s="38" t="n">
        <v>12</v>
      </c>
      <c r="C41" s="22" t="s">
        <v>331</v>
      </c>
      <c r="D41" s="75" t="s">
        <v>320</v>
      </c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7" t="n">
        <f aca="false">IFERROR(SUM(E41:P41),"")</f>
        <v>0</v>
      </c>
      <c r="R41" s="41" t="s">
        <v>545</v>
      </c>
      <c r="S41" s="44"/>
    </row>
    <row r="42" customFormat="false" ht="18" hidden="false" customHeight="true" outlineLevel="0" collapsed="false">
      <c r="B42" s="38" t="n">
        <v>13</v>
      </c>
      <c r="C42" s="22" t="s">
        <v>332</v>
      </c>
      <c r="D42" s="75" t="s">
        <v>320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7" t="n">
        <f aca="false">IFERROR(SUM(E42:P42),"")</f>
        <v>0</v>
      </c>
      <c r="R42" s="41" t="s">
        <v>545</v>
      </c>
      <c r="S42" s="41"/>
    </row>
    <row r="43" customFormat="false" ht="18" hidden="false" customHeight="true" outlineLevel="0" collapsed="false">
      <c r="B43" s="126" t="n">
        <v>14</v>
      </c>
      <c r="C43" s="127" t="s">
        <v>333</v>
      </c>
      <c r="D43" s="128" t="s">
        <v>546</v>
      </c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30" t="n">
        <f aca="false">IFERROR(SUM(E43:P43),"")</f>
        <v>0</v>
      </c>
      <c r="R43" s="131" t="s">
        <v>547</v>
      </c>
      <c r="S43" s="129"/>
    </row>
    <row r="44" customFormat="false" ht="18" hidden="false" customHeight="true" outlineLevel="0" collapsed="false">
      <c r="B44" s="126" t="n">
        <v>15</v>
      </c>
      <c r="C44" s="127" t="s">
        <v>335</v>
      </c>
      <c r="D44" s="128" t="s">
        <v>546</v>
      </c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30" t="n">
        <f aca="false">IFERROR(SUM(E44:P44),"")</f>
        <v>0</v>
      </c>
      <c r="R44" s="131" t="s">
        <v>547</v>
      </c>
      <c r="S44" s="129"/>
    </row>
    <row r="45" customFormat="false" ht="18" hidden="false" customHeight="true" outlineLevel="0" collapsed="false">
      <c r="B45" s="126" t="n">
        <v>16</v>
      </c>
      <c r="C45" s="127" t="s">
        <v>336</v>
      </c>
      <c r="D45" s="128" t="s">
        <v>546</v>
      </c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30" t="n">
        <f aca="false">IFERROR(SUM(E45:P45),"")</f>
        <v>0</v>
      </c>
      <c r="R45" s="131" t="s">
        <v>547</v>
      </c>
      <c r="S45" s="129"/>
    </row>
    <row r="46" customFormat="false" ht="15" hidden="false" customHeight="true" outlineLevel="0" collapsed="false">
      <c r="B46" s="28" t="s">
        <v>548</v>
      </c>
      <c r="C46" s="28"/>
      <c r="D46" s="28"/>
      <c r="E46" s="132"/>
      <c r="F46" s="132"/>
      <c r="G46" s="132"/>
      <c r="H46" s="132"/>
      <c r="I46" s="132" t="str">
        <f aca="false">IFERROR(AVERAGE(I30:I45),"")</f>
        <v/>
      </c>
      <c r="J46" s="132" t="str">
        <f aca="false">IFERROR(AVERAGE(J30:J45),"")</f>
        <v/>
      </c>
      <c r="K46" s="132" t="str">
        <f aca="false">IFERROR(AVERAGE(K30:K45),"")</f>
        <v/>
      </c>
      <c r="L46" s="132" t="str">
        <f aca="false">IFERROR(AVERAGE(L30:L45),"")</f>
        <v/>
      </c>
      <c r="M46" s="132" t="str">
        <f aca="false">IFERROR(AVERAGE(M30:M45),"")</f>
        <v/>
      </c>
      <c r="N46" s="132" t="str">
        <f aca="false">IFERROR(AVERAGE(N30:N45),"")</f>
        <v/>
      </c>
      <c r="O46" s="132" t="str">
        <f aca="false">IFERROR(AVERAGE(O30:O45),"")</f>
        <v/>
      </c>
      <c r="P46" s="132" t="str">
        <f aca="false">IFERROR(AVERAGE(P30:P45),"")</f>
        <v/>
      </c>
      <c r="Q46" s="47" t="n">
        <f aca="false">IFERROR(AVERAGE(Q30:Q45),"")</f>
        <v>0</v>
      </c>
      <c r="R46" s="47" t="str">
        <f aca="false">IFERROR(AVERAGE(R30:R45),"")</f>
        <v/>
      </c>
      <c r="S46" s="47" t="str">
        <f aca="false">IFERROR(AVERAGE(S30:S45),"")</f>
        <v/>
      </c>
    </row>
    <row r="48" customFormat="false" ht="21.75" hidden="false" customHeight="true" outlineLevel="0" collapsed="false">
      <c r="A48" s="133"/>
      <c r="B48" s="134" t="s">
        <v>549</v>
      </c>
      <c r="C48" s="134"/>
      <c r="D48" s="134"/>
      <c r="E48" s="134"/>
      <c r="F48" s="134"/>
      <c r="G48" s="134"/>
      <c r="H48" s="134"/>
      <c r="I48" s="134"/>
      <c r="J48" s="133"/>
      <c r="K48" s="133"/>
    </row>
    <row r="49" customFormat="false" ht="21.75" hidden="false" customHeight="true" outlineLevel="0" collapsed="false">
      <c r="A49" s="133"/>
      <c r="B49" s="135" t="s">
        <v>550</v>
      </c>
      <c r="C49" s="135"/>
      <c r="D49" s="133"/>
      <c r="E49" s="136" t="n">
        <v>0</v>
      </c>
      <c r="F49" s="137" t="s">
        <v>551</v>
      </c>
      <c r="G49" s="137"/>
      <c r="H49" s="137"/>
      <c r="I49" s="137"/>
      <c r="J49" s="133"/>
      <c r="K49" s="133"/>
    </row>
    <row r="50" customFormat="false" ht="21.75" hidden="false" customHeight="true" outlineLevel="0" collapsed="false">
      <c r="A50" s="133"/>
      <c r="B50" s="138" t="s">
        <v>552</v>
      </c>
      <c r="C50" s="138"/>
      <c r="D50" s="133"/>
      <c r="E50" s="139" t="n">
        <v>0</v>
      </c>
      <c r="F50" s="140" t="s">
        <v>553</v>
      </c>
      <c r="G50" s="140"/>
      <c r="H50" s="140"/>
      <c r="I50" s="140"/>
      <c r="J50" s="133"/>
      <c r="K50" s="133"/>
    </row>
    <row r="51" customFormat="false" ht="18" hidden="false" customHeight="true" outlineLevel="0" collapsed="false">
      <c r="A51" s="133"/>
      <c r="B51" s="141" t="s">
        <v>554</v>
      </c>
      <c r="C51" s="141"/>
      <c r="D51" s="141"/>
      <c r="E51" s="141"/>
      <c r="F51" s="141"/>
      <c r="G51" s="141"/>
      <c r="H51" s="141"/>
      <c r="I51" s="141"/>
      <c r="J51" s="133"/>
      <c r="K51" s="133"/>
    </row>
    <row r="52" customFormat="false" ht="21.75" hidden="false" customHeight="true" outlineLevel="0" collapsed="false">
      <c r="B52" s="20" t="s">
        <v>555</v>
      </c>
      <c r="C52" s="20"/>
      <c r="D52" s="20"/>
      <c r="E52" s="20"/>
      <c r="F52" s="20"/>
      <c r="G52" s="20"/>
      <c r="H52" s="20"/>
      <c r="I52" s="20"/>
    </row>
    <row r="53" customFormat="false" ht="18" hidden="false" customHeight="true" outlineLevel="0" collapsed="false">
      <c r="B53" s="38" t="n">
        <v>1</v>
      </c>
      <c r="C53" s="22" t="s">
        <v>319</v>
      </c>
      <c r="D53" s="95" t="s">
        <v>320</v>
      </c>
      <c r="E53" s="41" t="n">
        <f aca="false">IFERROR(E30*(1+Irraggiamento_PVGIS!$E$49/100),"")</f>
        <v>0</v>
      </c>
      <c r="F53" s="41" t="n">
        <f aca="false">IFERROR(F30*(1+Irraggiamento_PVGIS!$E$49/100),"")</f>
        <v>0</v>
      </c>
      <c r="G53" s="41" t="n">
        <f aca="false">IFERROR(G30*(1+Irraggiamento_PVGIS!$E$49/100),"")</f>
        <v>0</v>
      </c>
      <c r="H53" s="142" t="n">
        <f aca="false">IFERROR(SUM(E53:G53),"")</f>
        <v>0</v>
      </c>
    </row>
    <row r="54" customFormat="false" ht="18" hidden="false" customHeight="true" outlineLevel="0" collapsed="false">
      <c r="B54" s="38" t="n">
        <v>2</v>
      </c>
      <c r="C54" s="22" t="s">
        <v>321</v>
      </c>
      <c r="D54" s="95" t="s">
        <v>320</v>
      </c>
      <c r="E54" s="44" t="n">
        <f aca="false">IFERROR(E31*(1+Irraggiamento_PVGIS!$E$49/100),"")</f>
        <v>0</v>
      </c>
      <c r="F54" s="44" t="n">
        <f aca="false">IFERROR(F31*(1+Irraggiamento_PVGIS!$E$49/100),"")</f>
        <v>0</v>
      </c>
      <c r="G54" s="44" t="n">
        <f aca="false">IFERROR(G31*(1+Irraggiamento_PVGIS!$E$49/100),"")</f>
        <v>0</v>
      </c>
      <c r="H54" s="142" t="n">
        <f aca="false">IFERROR(SUM(E54:G54),"")</f>
        <v>0</v>
      </c>
    </row>
    <row r="55" customFormat="false" ht="18" hidden="false" customHeight="true" outlineLevel="0" collapsed="false">
      <c r="B55" s="38" t="n">
        <v>3</v>
      </c>
      <c r="C55" s="22" t="s">
        <v>322</v>
      </c>
      <c r="D55" s="95" t="s">
        <v>320</v>
      </c>
      <c r="E55" s="41" t="n">
        <f aca="false">IFERROR(E32*(1+Irraggiamento_PVGIS!$E$49/100),"")</f>
        <v>0</v>
      </c>
      <c r="F55" s="41" t="n">
        <f aca="false">IFERROR(F32*(1+Irraggiamento_PVGIS!$E$49/100),"")</f>
        <v>0</v>
      </c>
      <c r="G55" s="41" t="n">
        <f aca="false">IFERROR(G32*(1+Irraggiamento_PVGIS!$E$49/100),"")</f>
        <v>0</v>
      </c>
      <c r="H55" s="142" t="n">
        <f aca="false">IFERROR(SUM(E55:G55),"")</f>
        <v>0</v>
      </c>
    </row>
    <row r="56" customFormat="false" ht="18" hidden="false" customHeight="true" outlineLevel="0" collapsed="false">
      <c r="B56" s="38" t="n">
        <v>4</v>
      </c>
      <c r="C56" s="22" t="s">
        <v>323</v>
      </c>
      <c r="D56" s="95" t="s">
        <v>320</v>
      </c>
      <c r="E56" s="44" t="n">
        <f aca="false">IFERROR(E33*(1+Irraggiamento_PVGIS!$E$49/100),"")</f>
        <v>0</v>
      </c>
      <c r="F56" s="44" t="n">
        <f aca="false">IFERROR(F33*(1+Irraggiamento_PVGIS!$E$49/100),"")</f>
        <v>0</v>
      </c>
      <c r="G56" s="44" t="n">
        <f aca="false">IFERROR(G33*(1+Irraggiamento_PVGIS!$E$49/100),"")</f>
        <v>0</v>
      </c>
      <c r="H56" s="142" t="n">
        <f aca="false">IFERROR(SUM(E56:G56),"")</f>
        <v>0</v>
      </c>
    </row>
    <row r="57" customFormat="false" ht="18" hidden="false" customHeight="true" outlineLevel="0" collapsed="false">
      <c r="B57" s="38" t="n">
        <v>5</v>
      </c>
      <c r="C57" s="22" t="s">
        <v>324</v>
      </c>
      <c r="D57" s="95" t="s">
        <v>320</v>
      </c>
      <c r="E57" s="41" t="n">
        <f aca="false">IFERROR(E34*(1+Irraggiamento_PVGIS!$E$49/100),"")</f>
        <v>0</v>
      </c>
      <c r="F57" s="41" t="n">
        <f aca="false">IFERROR(F34*(1+Irraggiamento_PVGIS!$E$49/100),"")</f>
        <v>0</v>
      </c>
      <c r="G57" s="41" t="n">
        <f aca="false">IFERROR(G34*(1+Irraggiamento_PVGIS!$E$49/100),"")</f>
        <v>0</v>
      </c>
      <c r="H57" s="142" t="n">
        <f aca="false">IFERROR(SUM(E57:G57),"")</f>
        <v>0</v>
      </c>
    </row>
    <row r="58" customFormat="false" ht="18" hidden="false" customHeight="true" outlineLevel="0" collapsed="false">
      <c r="B58" s="38" t="n">
        <v>6</v>
      </c>
      <c r="C58" s="22" t="s">
        <v>325</v>
      </c>
      <c r="D58" s="95" t="s">
        <v>320</v>
      </c>
      <c r="E58" s="44" t="n">
        <f aca="false">IFERROR(E35*(1+Irraggiamento_PVGIS!$E$49/100),"")</f>
        <v>0</v>
      </c>
      <c r="F58" s="44" t="n">
        <f aca="false">IFERROR(F35*(1+Irraggiamento_PVGIS!$E$49/100),"")</f>
        <v>0</v>
      </c>
      <c r="G58" s="44" t="n">
        <f aca="false">IFERROR(G35*(1+Irraggiamento_PVGIS!$E$49/100),"")</f>
        <v>0</v>
      </c>
      <c r="H58" s="142" t="n">
        <f aca="false">IFERROR(SUM(E58:G58),"")</f>
        <v>0</v>
      </c>
    </row>
    <row r="59" customFormat="false" ht="18" hidden="false" customHeight="true" outlineLevel="0" collapsed="false">
      <c r="B59" s="38" t="n">
        <v>7</v>
      </c>
      <c r="C59" s="22" t="s">
        <v>326</v>
      </c>
      <c r="D59" s="95" t="s">
        <v>320</v>
      </c>
      <c r="E59" s="41" t="n">
        <f aca="false">IFERROR(E36*(1+Irraggiamento_PVGIS!$E$49/100),"")</f>
        <v>0</v>
      </c>
      <c r="F59" s="41" t="n">
        <f aca="false">IFERROR(F36*(1+Irraggiamento_PVGIS!$E$49/100),"")</f>
        <v>0</v>
      </c>
      <c r="G59" s="41" t="n">
        <f aca="false">IFERROR(G36*(1+Irraggiamento_PVGIS!$E$49/100),"")</f>
        <v>0</v>
      </c>
      <c r="H59" s="142" t="n">
        <f aca="false">IFERROR(SUM(E59:G59),"")</f>
        <v>0</v>
      </c>
    </row>
    <row r="60" customFormat="false" ht="18" hidden="false" customHeight="true" outlineLevel="0" collapsed="false">
      <c r="B60" s="38" t="n">
        <v>8</v>
      </c>
      <c r="C60" s="22" t="s">
        <v>327</v>
      </c>
      <c r="D60" s="95" t="s">
        <v>320</v>
      </c>
      <c r="E60" s="44" t="n">
        <f aca="false">IFERROR(E37*(1+Irraggiamento_PVGIS!$E$49/100),"")</f>
        <v>0</v>
      </c>
      <c r="F60" s="44" t="n">
        <f aca="false">IFERROR(F37*(1+Irraggiamento_PVGIS!$E$49/100),"")</f>
        <v>0</v>
      </c>
      <c r="G60" s="44" t="n">
        <f aca="false">IFERROR(G37*(1+Irraggiamento_PVGIS!$E$49/100),"")</f>
        <v>0</v>
      </c>
      <c r="H60" s="142" t="n">
        <f aca="false">IFERROR(SUM(E60:G60),"")</f>
        <v>0</v>
      </c>
    </row>
    <row r="61" customFormat="false" ht="18" hidden="false" customHeight="true" outlineLevel="0" collapsed="false">
      <c r="B61" s="38" t="n">
        <v>9</v>
      </c>
      <c r="C61" s="22" t="s">
        <v>328</v>
      </c>
      <c r="D61" s="95" t="s">
        <v>320</v>
      </c>
      <c r="E61" s="41" t="n">
        <f aca="false">IFERROR(E38*(1+Irraggiamento_PVGIS!$E$49/100),"")</f>
        <v>0</v>
      </c>
      <c r="F61" s="41" t="n">
        <f aca="false">IFERROR(F38*(1+Irraggiamento_PVGIS!$E$49/100),"")</f>
        <v>0</v>
      </c>
      <c r="G61" s="41" t="n">
        <f aca="false">IFERROR(G38*(1+Irraggiamento_PVGIS!$E$49/100),"")</f>
        <v>0</v>
      </c>
      <c r="H61" s="142" t="n">
        <f aca="false">IFERROR(SUM(E61:G61),"")</f>
        <v>0</v>
      </c>
    </row>
    <row r="62" customFormat="false" ht="18" hidden="false" customHeight="true" outlineLevel="0" collapsed="false">
      <c r="B62" s="38" t="n">
        <v>10</v>
      </c>
      <c r="C62" s="22" t="s">
        <v>329</v>
      </c>
      <c r="D62" s="95" t="s">
        <v>320</v>
      </c>
      <c r="E62" s="44" t="n">
        <f aca="false">IFERROR(E39*(1+Irraggiamento_PVGIS!$E$49/100),"")</f>
        <v>0</v>
      </c>
      <c r="F62" s="44" t="n">
        <f aca="false">IFERROR(F39*(1+Irraggiamento_PVGIS!$E$49/100),"")</f>
        <v>0</v>
      </c>
      <c r="G62" s="44" t="n">
        <f aca="false">IFERROR(G39*(1+Irraggiamento_PVGIS!$E$49/100),"")</f>
        <v>0</v>
      </c>
      <c r="H62" s="142" t="n">
        <f aca="false">IFERROR(SUM(E62:G62),"")</f>
        <v>0</v>
      </c>
    </row>
    <row r="63" customFormat="false" ht="18" hidden="false" customHeight="true" outlineLevel="0" collapsed="false">
      <c r="B63" s="38" t="n">
        <v>11</v>
      </c>
      <c r="C63" s="22" t="s">
        <v>330</v>
      </c>
      <c r="D63" s="95" t="s">
        <v>320</v>
      </c>
      <c r="E63" s="41" t="n">
        <f aca="false">IFERROR(E40*(1+Irraggiamento_PVGIS!$E$49/100),"")</f>
        <v>0</v>
      </c>
      <c r="F63" s="41" t="n">
        <f aca="false">IFERROR(F40*(1+Irraggiamento_PVGIS!$E$49/100),"")</f>
        <v>0</v>
      </c>
      <c r="G63" s="41" t="n">
        <f aca="false">IFERROR(G40*(1+Irraggiamento_PVGIS!$E$49/100),"")</f>
        <v>0</v>
      </c>
      <c r="H63" s="142" t="n">
        <f aca="false">IFERROR(SUM(E63:G63),"")</f>
        <v>0</v>
      </c>
    </row>
    <row r="64" customFormat="false" ht="18" hidden="false" customHeight="true" outlineLevel="0" collapsed="false">
      <c r="B64" s="38" t="n">
        <v>12</v>
      </c>
      <c r="C64" s="22" t="s">
        <v>331</v>
      </c>
      <c r="D64" s="95" t="s">
        <v>320</v>
      </c>
      <c r="E64" s="44" t="n">
        <f aca="false">IFERROR(E41*(1+Irraggiamento_PVGIS!$E$49/100),"")</f>
        <v>0</v>
      </c>
      <c r="F64" s="44" t="n">
        <f aca="false">IFERROR(F41*(1+Irraggiamento_PVGIS!$E$49/100),"")</f>
        <v>0</v>
      </c>
      <c r="G64" s="44" t="n">
        <f aca="false">IFERROR(G41*(1+Irraggiamento_PVGIS!$E$49/100),"")</f>
        <v>0</v>
      </c>
      <c r="H64" s="142" t="n">
        <f aca="false">IFERROR(SUM(E64:G64),"")</f>
        <v>0</v>
      </c>
    </row>
    <row r="65" customFormat="false" ht="18" hidden="false" customHeight="true" outlineLevel="0" collapsed="false">
      <c r="B65" s="38" t="n">
        <v>13</v>
      </c>
      <c r="C65" s="22" t="s">
        <v>332</v>
      </c>
      <c r="D65" s="95" t="s">
        <v>320</v>
      </c>
      <c r="E65" s="41" t="n">
        <f aca="false">IFERROR(E42*(1+Irraggiamento_PVGIS!$E$49/100),"")</f>
        <v>0</v>
      </c>
      <c r="F65" s="41" t="n">
        <f aca="false">IFERROR(F42*(1+Irraggiamento_PVGIS!$E$49/100),"")</f>
        <v>0</v>
      </c>
      <c r="G65" s="41" t="n">
        <f aca="false">IFERROR(G42*(1+Irraggiamento_PVGIS!$E$49/100),"")</f>
        <v>0</v>
      </c>
      <c r="H65" s="142" t="n">
        <f aca="false">IFERROR(SUM(E65:G65),"")</f>
        <v>0</v>
      </c>
    </row>
    <row r="66" customFormat="false" ht="15" hidden="false" customHeight="true" outlineLevel="0" collapsed="false">
      <c r="B66" s="38" t="n">
        <v>14</v>
      </c>
      <c r="C66" s="22" t="s">
        <v>333</v>
      </c>
      <c r="D66" s="128" t="s">
        <v>546</v>
      </c>
      <c r="E66" s="129" t="n">
        <f aca="false">IFERROR(E43*(1+Irraggiamento_PVGIS!$E$50/100),"")</f>
        <v>0</v>
      </c>
      <c r="F66" s="129" t="n">
        <f aca="false">IFERROR(F43*(1+Irraggiamento_PVGIS!$E$50/100),"")</f>
        <v>0</v>
      </c>
      <c r="G66" s="129" t="n">
        <f aca="false">IFERROR(G43*(1+Irraggiamento_PVGIS!$E$50/100),"")</f>
        <v>0</v>
      </c>
      <c r="H66" s="143" t="n">
        <f aca="false">IFERROR(SUM(E66:G66),"")</f>
        <v>0</v>
      </c>
    </row>
    <row r="67" customFormat="false" ht="15" hidden="false" customHeight="true" outlineLevel="0" collapsed="false">
      <c r="B67" s="38" t="n">
        <v>15</v>
      </c>
      <c r="C67" s="22" t="s">
        <v>335</v>
      </c>
      <c r="D67" s="128" t="s">
        <v>546</v>
      </c>
      <c r="E67" s="129" t="n">
        <f aca="false">IFERROR(E44*(1+Irraggiamento_PVGIS!$E$50/100),"")</f>
        <v>0</v>
      </c>
      <c r="F67" s="129" t="n">
        <f aca="false">IFERROR(F44*(1+Irraggiamento_PVGIS!$E$50/100),"")</f>
        <v>0</v>
      </c>
      <c r="G67" s="129" t="n">
        <f aca="false">IFERROR(G44*(1+Irraggiamento_PVGIS!$E$50/100),"")</f>
        <v>0</v>
      </c>
      <c r="H67" s="143" t="n">
        <f aca="false">IFERROR(SUM(E67:G67),"")</f>
        <v>0</v>
      </c>
    </row>
    <row r="68" customFormat="false" ht="15" hidden="false" customHeight="true" outlineLevel="0" collapsed="false">
      <c r="B68" s="38" t="n">
        <v>16</v>
      </c>
      <c r="C68" s="22" t="s">
        <v>336</v>
      </c>
      <c r="D68" s="128" t="s">
        <v>546</v>
      </c>
      <c r="E68" s="129" t="n">
        <f aca="false">IFERROR(E45*(1+Irraggiamento_PVGIS!$E$50/100),"")</f>
        <v>0</v>
      </c>
      <c r="F68" s="129" t="n">
        <f aca="false">IFERROR(F45*(1+Irraggiamento_PVGIS!$E$50/100),"")</f>
        <v>0</v>
      </c>
      <c r="G68" s="129" t="n">
        <f aca="false">IFERROR(G45*(1+Irraggiamento_PVGIS!$E$50/100),"")</f>
        <v>0</v>
      </c>
      <c r="H68" s="143" t="n">
        <f aca="false">IFERROR(SUM(E68:G68),"")</f>
        <v>0</v>
      </c>
    </row>
  </sheetData>
  <mergeCells count="14">
    <mergeCell ref="B1:W3"/>
    <mergeCell ref="B4:W4"/>
    <mergeCell ref="B6:W6"/>
    <mergeCell ref="B7:W7"/>
    <mergeCell ref="B27:S27"/>
    <mergeCell ref="B28:W28"/>
    <mergeCell ref="B46:D46"/>
    <mergeCell ref="B48:I48"/>
    <mergeCell ref="B49:C49"/>
    <mergeCell ref="F49:I49"/>
    <mergeCell ref="B50:C50"/>
    <mergeCell ref="F50:I50"/>
    <mergeCell ref="B51:I51"/>
    <mergeCell ref="B52:I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A1:T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8"/>
    <col collapsed="false" customWidth="true" hidden="false" outlineLevel="0" max="3" min="3" style="1" width="30"/>
    <col collapsed="false" customWidth="true" hidden="false" outlineLevel="0" max="4" min="4" style="1" width="14"/>
    <col collapsed="false" customWidth="true" hidden="false" outlineLevel="0" max="16" min="5" style="1" width="12"/>
  </cols>
  <sheetData>
    <row r="1" customFormat="false" ht="19.5" hidden="false" customHeight="true" outlineLevel="0" collapsed="false">
      <c r="A1" s="144" t="s">
        <v>556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</row>
    <row r="3" customFormat="false" ht="15" hidden="false" customHeight="true" outlineLevel="0" collapsed="false">
      <c r="A3" s="145" t="s">
        <v>557</v>
      </c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</row>
    <row r="4" customFormat="false" ht="24" hidden="false" customHeight="true" outlineLevel="0" collapsed="false">
      <c r="A4" s="146" t="s">
        <v>558</v>
      </c>
      <c r="B4" s="146" t="s">
        <v>559</v>
      </c>
      <c r="C4" s="146" t="s">
        <v>560</v>
      </c>
      <c r="D4" s="146" t="s">
        <v>561</v>
      </c>
      <c r="E4" s="146" t="s">
        <v>318</v>
      </c>
      <c r="F4" s="146" t="s">
        <v>337</v>
      </c>
      <c r="G4" s="146" t="s">
        <v>338</v>
      </c>
      <c r="H4" s="146" t="s">
        <v>562</v>
      </c>
      <c r="I4" s="146" t="s">
        <v>563</v>
      </c>
      <c r="J4" s="146" t="s">
        <v>564</v>
      </c>
      <c r="K4" s="146" t="s">
        <v>565</v>
      </c>
      <c r="L4" s="146" t="s">
        <v>566</v>
      </c>
      <c r="M4" s="146" t="s">
        <v>567</v>
      </c>
      <c r="N4" s="146" t="s">
        <v>568</v>
      </c>
      <c r="O4" s="146" t="s">
        <v>569</v>
      </c>
      <c r="P4" s="146" t="s">
        <v>570</v>
      </c>
    </row>
    <row r="5" customFormat="false" ht="15.75" hidden="false" customHeight="true" outlineLevel="0" collapsed="false">
      <c r="A5" s="93" t="s">
        <v>571</v>
      </c>
      <c r="B5" s="93" t="s">
        <v>572</v>
      </c>
      <c r="C5" s="93" t="s">
        <v>573</v>
      </c>
      <c r="D5" s="93" t="s">
        <v>574</v>
      </c>
      <c r="E5" s="24" t="n">
        <v>505134</v>
      </c>
      <c r="F5" s="24" t="n">
        <v>505134</v>
      </c>
      <c r="G5" s="24" t="n">
        <v>505134</v>
      </c>
      <c r="H5" s="24" t="n">
        <v>0</v>
      </c>
      <c r="I5" s="24" t="n">
        <v>0</v>
      </c>
      <c r="J5" s="24" t="n">
        <v>0</v>
      </c>
      <c r="K5" s="24" t="n">
        <v>0</v>
      </c>
      <c r="L5" s="24" t="n">
        <v>0</v>
      </c>
      <c r="M5" s="24" t="n">
        <v>0</v>
      </c>
      <c r="N5" s="24" t="n">
        <v>0</v>
      </c>
      <c r="O5" s="24" t="n">
        <v>0</v>
      </c>
      <c r="P5" s="24" t="n">
        <v>0</v>
      </c>
    </row>
    <row r="6" customFormat="false" ht="15.75" hidden="false" customHeight="true" outlineLevel="0" collapsed="false">
      <c r="A6" s="97" t="s">
        <v>575</v>
      </c>
      <c r="B6" s="97" t="s">
        <v>572</v>
      </c>
      <c r="C6" s="97" t="s">
        <v>576</v>
      </c>
      <c r="D6" s="97" t="s">
        <v>577</v>
      </c>
      <c r="E6" s="27" t="n">
        <v>0</v>
      </c>
      <c r="F6" s="27" t="n">
        <v>0</v>
      </c>
      <c r="G6" s="27" t="n">
        <v>0</v>
      </c>
      <c r="H6" s="27" t="n">
        <v>0</v>
      </c>
      <c r="I6" s="27" t="n">
        <v>0</v>
      </c>
      <c r="J6" s="27" t="n">
        <v>0</v>
      </c>
      <c r="K6" s="27" t="n">
        <v>0</v>
      </c>
      <c r="L6" s="27" t="n">
        <v>0</v>
      </c>
      <c r="M6" s="27" t="n">
        <v>0</v>
      </c>
      <c r="N6" s="27" t="n">
        <v>0</v>
      </c>
      <c r="O6" s="27" t="n">
        <v>0</v>
      </c>
      <c r="P6" s="27" t="n">
        <v>0</v>
      </c>
    </row>
    <row r="7" customFormat="false" ht="15.75" hidden="false" customHeight="true" outlineLevel="0" collapsed="false">
      <c r="A7" s="93" t="s">
        <v>578</v>
      </c>
      <c r="B7" s="93" t="s">
        <v>572</v>
      </c>
      <c r="C7" s="93" t="s">
        <v>579</v>
      </c>
      <c r="D7" s="93" t="s">
        <v>580</v>
      </c>
      <c r="E7" s="24" t="n">
        <v>0</v>
      </c>
      <c r="F7" s="24" t="n">
        <v>0</v>
      </c>
      <c r="G7" s="24" t="n">
        <v>0</v>
      </c>
      <c r="H7" s="24" t="n">
        <v>0</v>
      </c>
      <c r="I7" s="24" t="n">
        <v>0</v>
      </c>
      <c r="J7" s="24" t="n">
        <v>0</v>
      </c>
      <c r="K7" s="24" t="n">
        <v>0</v>
      </c>
      <c r="L7" s="24" t="n">
        <v>0</v>
      </c>
      <c r="M7" s="24" t="n">
        <v>0</v>
      </c>
      <c r="N7" s="24" t="n">
        <v>0</v>
      </c>
      <c r="O7" s="24" t="n">
        <v>0</v>
      </c>
      <c r="P7" s="24" t="n">
        <v>0</v>
      </c>
    </row>
    <row r="8" customFormat="false" ht="15.75" hidden="false" customHeight="true" outlineLevel="0" collapsed="false">
      <c r="A8" s="97" t="s">
        <v>581</v>
      </c>
      <c r="B8" s="97" t="s">
        <v>582</v>
      </c>
      <c r="C8" s="97" t="s">
        <v>321</v>
      </c>
      <c r="D8" s="97" t="s">
        <v>583</v>
      </c>
      <c r="E8" s="27" t="n">
        <v>68207</v>
      </c>
      <c r="F8" s="27" t="n">
        <v>68207</v>
      </c>
      <c r="G8" s="27" t="n">
        <v>68207</v>
      </c>
      <c r="H8" s="27" t="n">
        <v>0</v>
      </c>
      <c r="I8" s="27" t="n">
        <v>0</v>
      </c>
      <c r="J8" s="27" t="n">
        <v>0</v>
      </c>
      <c r="K8" s="27" t="n">
        <v>0</v>
      </c>
      <c r="L8" s="27" t="n">
        <v>0</v>
      </c>
      <c r="M8" s="27" t="n">
        <v>0</v>
      </c>
      <c r="N8" s="27" t="n">
        <v>0</v>
      </c>
      <c r="O8" s="27" t="n">
        <v>0</v>
      </c>
      <c r="P8" s="27" t="n">
        <v>0</v>
      </c>
    </row>
    <row r="9" customFormat="false" ht="15.75" hidden="false" customHeight="true" outlineLevel="0" collapsed="false">
      <c r="A9" s="93" t="s">
        <v>584</v>
      </c>
      <c r="B9" s="93" t="s">
        <v>582</v>
      </c>
      <c r="C9" s="93" t="s">
        <v>585</v>
      </c>
      <c r="D9" s="93" t="s">
        <v>586</v>
      </c>
      <c r="E9" s="24" t="n">
        <v>0</v>
      </c>
      <c r="F9" s="24" t="n">
        <v>0</v>
      </c>
      <c r="G9" s="24" t="n">
        <v>0</v>
      </c>
      <c r="H9" s="24" t="n">
        <v>0</v>
      </c>
      <c r="I9" s="24" t="n">
        <v>0</v>
      </c>
      <c r="J9" s="24" t="n">
        <v>0</v>
      </c>
      <c r="K9" s="24" t="n">
        <v>0</v>
      </c>
      <c r="L9" s="24" t="n">
        <v>0</v>
      </c>
      <c r="M9" s="24" t="n">
        <v>0</v>
      </c>
      <c r="N9" s="24" t="n">
        <v>0</v>
      </c>
      <c r="O9" s="24" t="n">
        <v>0</v>
      </c>
      <c r="P9" s="24" t="n">
        <v>0</v>
      </c>
    </row>
    <row r="10" customFormat="false" ht="15.75" hidden="false" customHeight="true" outlineLevel="0" collapsed="false">
      <c r="A10" s="97" t="s">
        <v>587</v>
      </c>
      <c r="B10" s="97" t="s">
        <v>588</v>
      </c>
      <c r="C10" s="97" t="s">
        <v>325</v>
      </c>
      <c r="D10" s="97" t="s">
        <v>589</v>
      </c>
      <c r="E10" s="27" t="n">
        <v>323510</v>
      </c>
      <c r="F10" s="27" t="n">
        <v>323510</v>
      </c>
      <c r="G10" s="27" t="n">
        <v>323510</v>
      </c>
      <c r="H10" s="27" t="n">
        <v>0</v>
      </c>
      <c r="I10" s="27" t="n">
        <v>0</v>
      </c>
      <c r="J10" s="27" t="n">
        <v>0</v>
      </c>
      <c r="K10" s="27" t="n">
        <v>0</v>
      </c>
      <c r="L10" s="27" t="n">
        <v>0</v>
      </c>
      <c r="M10" s="27" t="n">
        <v>0</v>
      </c>
      <c r="N10" s="27" t="n">
        <v>0</v>
      </c>
      <c r="O10" s="27" t="n">
        <v>0</v>
      </c>
      <c r="P10" s="27" t="n">
        <v>0</v>
      </c>
    </row>
    <row r="11" customFormat="false" ht="15.75" hidden="false" customHeight="true" outlineLevel="0" collapsed="false">
      <c r="A11" s="93" t="s">
        <v>590</v>
      </c>
      <c r="B11" s="93" t="s">
        <v>582</v>
      </c>
      <c r="C11" s="93" t="s">
        <v>591</v>
      </c>
      <c r="D11" s="93" t="s">
        <v>592</v>
      </c>
      <c r="E11" s="24" t="n">
        <v>26742</v>
      </c>
      <c r="F11" s="24" t="n">
        <v>26742</v>
      </c>
      <c r="G11" s="24" t="n">
        <v>26742</v>
      </c>
      <c r="H11" s="24" t="n">
        <v>0</v>
      </c>
      <c r="I11" s="24" t="n">
        <v>0</v>
      </c>
      <c r="J11" s="24" t="n">
        <v>0</v>
      </c>
      <c r="K11" s="24" t="n">
        <v>0</v>
      </c>
      <c r="L11" s="24" t="n">
        <v>0</v>
      </c>
      <c r="M11" s="24" t="n">
        <v>0</v>
      </c>
      <c r="N11" s="24" t="n">
        <v>0</v>
      </c>
      <c r="O11" s="24" t="n">
        <v>0</v>
      </c>
      <c r="P11" s="24" t="n">
        <v>0</v>
      </c>
    </row>
    <row r="12" customFormat="false" ht="15.75" hidden="false" customHeight="true" outlineLevel="0" collapsed="false">
      <c r="A12" s="97" t="s">
        <v>593</v>
      </c>
      <c r="B12" s="97" t="s">
        <v>588</v>
      </c>
      <c r="C12" s="97" t="s">
        <v>327</v>
      </c>
      <c r="D12" s="97" t="s">
        <v>594</v>
      </c>
      <c r="E12" s="27" t="n">
        <v>179092</v>
      </c>
      <c r="F12" s="27" t="n">
        <v>179092</v>
      </c>
      <c r="G12" s="27" t="n">
        <v>179092</v>
      </c>
      <c r="H12" s="27" t="n">
        <v>0</v>
      </c>
      <c r="I12" s="27" t="n">
        <v>0</v>
      </c>
      <c r="J12" s="27" t="n">
        <v>0</v>
      </c>
      <c r="K12" s="27" t="n">
        <v>0</v>
      </c>
      <c r="L12" s="27" t="n">
        <v>0</v>
      </c>
      <c r="M12" s="27" t="n">
        <v>0</v>
      </c>
      <c r="N12" s="27" t="n">
        <v>0</v>
      </c>
      <c r="O12" s="27" t="n">
        <v>0</v>
      </c>
      <c r="P12" s="27" t="n">
        <v>0</v>
      </c>
    </row>
    <row r="13" customFormat="false" ht="15.75" hidden="false" customHeight="true" outlineLevel="0" collapsed="false">
      <c r="A13" s="93" t="s">
        <v>595</v>
      </c>
      <c r="B13" s="93" t="s">
        <v>582</v>
      </c>
      <c r="C13" s="93" t="s">
        <v>596</v>
      </c>
      <c r="D13" s="93" t="s">
        <v>597</v>
      </c>
      <c r="E13" s="24" t="n">
        <v>12850</v>
      </c>
      <c r="F13" s="24" t="n">
        <v>12850</v>
      </c>
      <c r="G13" s="24" t="n">
        <v>12850</v>
      </c>
      <c r="H13" s="24" t="n">
        <v>0</v>
      </c>
      <c r="I13" s="24" t="n">
        <v>0</v>
      </c>
      <c r="J13" s="24" t="n">
        <v>0</v>
      </c>
      <c r="K13" s="24" t="n">
        <v>0</v>
      </c>
      <c r="L13" s="24" t="n">
        <v>0</v>
      </c>
      <c r="M13" s="24" t="n">
        <v>0</v>
      </c>
      <c r="N13" s="24" t="n">
        <v>0</v>
      </c>
      <c r="O13" s="24" t="n">
        <v>0</v>
      </c>
      <c r="P13" s="24" t="n">
        <v>0</v>
      </c>
    </row>
    <row r="14" customFormat="false" ht="15.75" hidden="false" customHeight="true" outlineLevel="0" collapsed="false">
      <c r="A14" s="97" t="s">
        <v>598</v>
      </c>
      <c r="B14" s="97" t="s">
        <v>599</v>
      </c>
      <c r="C14" s="97" t="s">
        <v>329</v>
      </c>
      <c r="D14" s="97" t="s">
        <v>600</v>
      </c>
      <c r="E14" s="27" t="n">
        <v>402134</v>
      </c>
      <c r="F14" s="27" t="n">
        <v>402134</v>
      </c>
      <c r="G14" s="27" t="n">
        <v>402134</v>
      </c>
      <c r="H14" s="27" t="n">
        <v>0</v>
      </c>
      <c r="I14" s="27" t="n">
        <v>0</v>
      </c>
      <c r="J14" s="27" t="n">
        <v>0</v>
      </c>
      <c r="K14" s="27" t="n">
        <v>0</v>
      </c>
      <c r="L14" s="27" t="n">
        <v>0</v>
      </c>
      <c r="M14" s="27" t="n">
        <v>0</v>
      </c>
      <c r="N14" s="27" t="n">
        <v>0</v>
      </c>
      <c r="O14" s="27" t="n">
        <v>0</v>
      </c>
      <c r="P14" s="27" t="n">
        <v>0</v>
      </c>
    </row>
    <row r="15" customFormat="false" ht="15.75" hidden="false" customHeight="true" outlineLevel="0" collapsed="false">
      <c r="A15" s="93" t="s">
        <v>601</v>
      </c>
      <c r="B15" s="93" t="s">
        <v>602</v>
      </c>
      <c r="C15" s="93" t="s">
        <v>603</v>
      </c>
      <c r="D15" s="93" t="s">
        <v>604</v>
      </c>
      <c r="E15" s="24" t="n">
        <v>249902</v>
      </c>
      <c r="F15" s="24" t="n">
        <v>249902</v>
      </c>
      <c r="G15" s="24" t="n">
        <v>249902</v>
      </c>
      <c r="H15" s="24" t="n">
        <v>0</v>
      </c>
      <c r="I15" s="24" t="n">
        <v>0</v>
      </c>
      <c r="J15" s="24" t="n">
        <v>0</v>
      </c>
      <c r="K15" s="24" t="n">
        <v>0</v>
      </c>
      <c r="L15" s="24" t="n">
        <v>0</v>
      </c>
      <c r="M15" s="24" t="n">
        <v>0</v>
      </c>
      <c r="N15" s="24" t="n">
        <v>0</v>
      </c>
      <c r="O15" s="24" t="n">
        <v>0</v>
      </c>
      <c r="P15" s="24" t="n">
        <v>0</v>
      </c>
    </row>
    <row r="16" customFormat="false" ht="15.75" hidden="false" customHeight="true" outlineLevel="0" collapsed="false">
      <c r="A16" s="97" t="s">
        <v>605</v>
      </c>
      <c r="B16" s="97" t="s">
        <v>602</v>
      </c>
      <c r="C16" s="97" t="s">
        <v>606</v>
      </c>
      <c r="D16" s="97" t="s">
        <v>607</v>
      </c>
      <c r="E16" s="27" t="n">
        <v>212693</v>
      </c>
      <c r="F16" s="27" t="n">
        <v>212693</v>
      </c>
      <c r="G16" s="27" t="n">
        <v>212693</v>
      </c>
      <c r="H16" s="27" t="n">
        <v>0</v>
      </c>
      <c r="I16" s="27" t="n">
        <v>0</v>
      </c>
      <c r="J16" s="27" t="n">
        <v>0</v>
      </c>
      <c r="K16" s="27" t="n">
        <v>0</v>
      </c>
      <c r="L16" s="27" t="n">
        <v>0</v>
      </c>
      <c r="M16" s="27" t="n">
        <v>0</v>
      </c>
      <c r="N16" s="27" t="n">
        <v>0</v>
      </c>
      <c r="O16" s="27" t="n">
        <v>0</v>
      </c>
      <c r="P16" s="27" t="n">
        <v>0</v>
      </c>
    </row>
    <row r="17" customFormat="false" ht="15.75" hidden="false" customHeight="true" outlineLevel="0" collapsed="false">
      <c r="A17" s="93" t="s">
        <v>608</v>
      </c>
      <c r="B17" s="93" t="s">
        <v>602</v>
      </c>
      <c r="C17" s="93" t="s">
        <v>609</v>
      </c>
      <c r="D17" s="93" t="s">
        <v>610</v>
      </c>
      <c r="E17" s="24" t="n">
        <v>202340</v>
      </c>
      <c r="F17" s="24" t="n">
        <v>202340</v>
      </c>
      <c r="G17" s="24" t="n">
        <v>202340</v>
      </c>
      <c r="H17" s="24" t="n">
        <v>0</v>
      </c>
      <c r="I17" s="24" t="n">
        <v>0</v>
      </c>
      <c r="J17" s="24" t="n">
        <v>0</v>
      </c>
      <c r="K17" s="24" t="n">
        <v>0</v>
      </c>
      <c r="L17" s="24" t="n">
        <v>0</v>
      </c>
      <c r="M17" s="24" t="n">
        <v>0</v>
      </c>
      <c r="N17" s="24" t="n">
        <v>0</v>
      </c>
      <c r="O17" s="24" t="n">
        <v>0</v>
      </c>
      <c r="P17" s="24" t="n">
        <v>0</v>
      </c>
    </row>
    <row r="18" customFormat="false" ht="15.75" hidden="false" customHeight="true" outlineLevel="0" collapsed="false">
      <c r="A18" s="97" t="s">
        <v>611</v>
      </c>
      <c r="B18" s="97" t="s">
        <v>612</v>
      </c>
      <c r="C18" s="97" t="s">
        <v>331</v>
      </c>
      <c r="D18" s="97" t="s">
        <v>613</v>
      </c>
      <c r="E18" s="27" t="n">
        <v>648438</v>
      </c>
      <c r="F18" s="27" t="n">
        <v>648438</v>
      </c>
      <c r="G18" s="27" t="n">
        <v>648438</v>
      </c>
      <c r="H18" s="27" t="n">
        <v>0</v>
      </c>
      <c r="I18" s="27" t="n">
        <v>0</v>
      </c>
      <c r="J18" s="27" t="n">
        <v>0</v>
      </c>
      <c r="K18" s="27" t="n">
        <v>0</v>
      </c>
      <c r="L18" s="27" t="n">
        <v>0</v>
      </c>
      <c r="M18" s="27" t="n">
        <v>0</v>
      </c>
      <c r="N18" s="27" t="n">
        <v>0</v>
      </c>
      <c r="O18" s="27" t="n">
        <v>0</v>
      </c>
      <c r="P18" s="27" t="n">
        <v>0</v>
      </c>
    </row>
    <row r="19" customFormat="false" ht="15.75" hidden="false" customHeight="true" outlineLevel="0" collapsed="false">
      <c r="A19" s="93" t="s">
        <v>614</v>
      </c>
      <c r="B19" s="93" t="s">
        <v>582</v>
      </c>
      <c r="C19" s="93" t="s">
        <v>332</v>
      </c>
      <c r="D19" s="93" t="s">
        <v>615</v>
      </c>
      <c r="E19" s="24" t="n">
        <v>0</v>
      </c>
      <c r="F19" s="24" t="n">
        <v>0</v>
      </c>
      <c r="G19" s="24" t="n">
        <v>0</v>
      </c>
      <c r="H19" s="24" t="n">
        <v>0</v>
      </c>
      <c r="I19" s="24" t="n">
        <v>0</v>
      </c>
      <c r="J19" s="24" t="n">
        <v>0</v>
      </c>
      <c r="K19" s="24" t="n">
        <v>0</v>
      </c>
      <c r="L19" s="24" t="n">
        <v>0</v>
      </c>
      <c r="M19" s="24" t="n">
        <v>0</v>
      </c>
      <c r="N19" s="24" t="n">
        <v>0</v>
      </c>
      <c r="O19" s="24" t="n">
        <v>0</v>
      </c>
      <c r="P19" s="24" t="n">
        <v>0</v>
      </c>
    </row>
    <row r="20" customFormat="false" ht="15.75" hidden="false" customHeight="true" outlineLevel="0" collapsed="false">
      <c r="A20" s="97" t="s">
        <v>616</v>
      </c>
      <c r="B20" s="97" t="s">
        <v>617</v>
      </c>
      <c r="C20" s="97" t="s">
        <v>618</v>
      </c>
      <c r="D20" s="97" t="s">
        <v>619</v>
      </c>
      <c r="E20" s="27" t="n">
        <v>39104</v>
      </c>
      <c r="F20" s="27" t="n">
        <v>0</v>
      </c>
      <c r="G20" s="27" t="n">
        <v>0</v>
      </c>
      <c r="H20" s="27" t="n">
        <v>0</v>
      </c>
      <c r="I20" s="27" t="n">
        <v>0</v>
      </c>
      <c r="J20" s="27" t="n">
        <v>0</v>
      </c>
      <c r="K20" s="27" t="n">
        <v>0</v>
      </c>
      <c r="L20" s="27" t="n">
        <v>0</v>
      </c>
      <c r="M20" s="27" t="n">
        <v>0</v>
      </c>
      <c r="N20" s="27" t="n">
        <v>0</v>
      </c>
      <c r="O20" s="27" t="n">
        <v>0</v>
      </c>
      <c r="P20" s="27" t="n">
        <v>0</v>
      </c>
    </row>
    <row r="23" customFormat="false" ht="15" hidden="false" customHeight="true" outlineLevel="0" collapsed="false">
      <c r="A23" s="147" t="s">
        <v>620</v>
      </c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</row>
    <row r="24" customFormat="false" ht="15" hidden="false" customHeight="true" outlineLevel="0" collapsed="false">
      <c r="A24" s="148" t="s">
        <v>558</v>
      </c>
      <c r="B24" s="148" t="s">
        <v>559</v>
      </c>
      <c r="C24" s="148" t="s">
        <v>560</v>
      </c>
      <c r="D24" s="148" t="s">
        <v>561</v>
      </c>
      <c r="E24" s="148" t="s">
        <v>318</v>
      </c>
      <c r="F24" s="148" t="s">
        <v>337</v>
      </c>
      <c r="G24" s="148" t="s">
        <v>338</v>
      </c>
      <c r="H24" s="148" t="s">
        <v>562</v>
      </c>
      <c r="I24" s="148" t="s">
        <v>563</v>
      </c>
      <c r="J24" s="148" t="s">
        <v>564</v>
      </c>
      <c r="K24" s="148" t="s">
        <v>565</v>
      </c>
      <c r="L24" s="148" t="s">
        <v>566</v>
      </c>
      <c r="M24" s="148" t="s">
        <v>567</v>
      </c>
      <c r="N24" s="148" t="s">
        <v>568</v>
      </c>
      <c r="O24" s="148" t="s">
        <v>569</v>
      </c>
      <c r="P24" s="148" t="s">
        <v>570</v>
      </c>
    </row>
    <row r="25" customFormat="false" ht="15.75" hidden="false" customHeight="true" outlineLevel="0" collapsed="false">
      <c r="A25" s="149" t="s">
        <v>571</v>
      </c>
      <c r="B25" s="149" t="s">
        <v>572</v>
      </c>
      <c r="C25" s="149" t="s">
        <v>573</v>
      </c>
      <c r="D25" s="149" t="s">
        <v>574</v>
      </c>
      <c r="E25" s="150" t="n">
        <v>231563.2</v>
      </c>
      <c r="F25" s="150" t="n">
        <v>409334.05</v>
      </c>
      <c r="G25" s="150" t="n">
        <v>0</v>
      </c>
      <c r="H25" s="150" t="n">
        <v>0</v>
      </c>
      <c r="I25" s="150" t="n">
        <v>0</v>
      </c>
      <c r="J25" s="150" t="n">
        <v>0</v>
      </c>
      <c r="K25" s="150" t="n">
        <v>0</v>
      </c>
      <c r="L25" s="150" t="n">
        <v>0</v>
      </c>
      <c r="M25" s="150" t="n">
        <v>0</v>
      </c>
      <c r="N25" s="150" t="n">
        <v>0</v>
      </c>
      <c r="O25" s="150" t="n">
        <v>0</v>
      </c>
      <c r="P25" s="150" t="n">
        <v>0</v>
      </c>
    </row>
    <row r="26" customFormat="false" ht="15.75" hidden="false" customHeight="true" outlineLevel="0" collapsed="false">
      <c r="A26" s="97" t="s">
        <v>575</v>
      </c>
      <c r="B26" s="97" t="s">
        <v>572</v>
      </c>
      <c r="C26" s="97" t="s">
        <v>576</v>
      </c>
      <c r="D26" s="97" t="s">
        <v>577</v>
      </c>
      <c r="E26" s="27" t="n">
        <v>113561.05</v>
      </c>
      <c r="F26" s="27" t="n">
        <v>197765.17</v>
      </c>
      <c r="G26" s="27" t="n">
        <v>0</v>
      </c>
      <c r="H26" s="27" t="n">
        <v>0</v>
      </c>
      <c r="I26" s="27" t="n">
        <v>0</v>
      </c>
      <c r="J26" s="27" t="n">
        <v>0</v>
      </c>
      <c r="K26" s="27" t="n">
        <v>0</v>
      </c>
      <c r="L26" s="27" t="n">
        <v>0</v>
      </c>
      <c r="M26" s="27" t="n">
        <v>0</v>
      </c>
      <c r="N26" s="27" t="n">
        <v>0</v>
      </c>
      <c r="O26" s="27" t="n">
        <v>0</v>
      </c>
      <c r="P26" s="27" t="n">
        <v>0</v>
      </c>
    </row>
    <row r="27" customFormat="false" ht="15.75" hidden="false" customHeight="true" outlineLevel="0" collapsed="false">
      <c r="A27" s="149" t="s">
        <v>578</v>
      </c>
      <c r="B27" s="149" t="s">
        <v>572</v>
      </c>
      <c r="C27" s="149" t="s">
        <v>579</v>
      </c>
      <c r="D27" s="149" t="s">
        <v>580</v>
      </c>
      <c r="E27" s="150" t="n">
        <v>47337.13</v>
      </c>
      <c r="F27" s="150" t="n">
        <v>78860.3</v>
      </c>
      <c r="G27" s="150" t="n">
        <v>0</v>
      </c>
      <c r="H27" s="150" t="n">
        <v>0</v>
      </c>
      <c r="I27" s="150" t="n">
        <v>0</v>
      </c>
      <c r="J27" s="150" t="n">
        <v>0</v>
      </c>
      <c r="K27" s="150" t="n">
        <v>0</v>
      </c>
      <c r="L27" s="150" t="n">
        <v>0</v>
      </c>
      <c r="M27" s="150" t="n">
        <v>0</v>
      </c>
      <c r="N27" s="150" t="n">
        <v>0</v>
      </c>
      <c r="O27" s="150" t="n">
        <v>0</v>
      </c>
      <c r="P27" s="150" t="n">
        <v>0</v>
      </c>
    </row>
    <row r="28" customFormat="false" ht="15.75" hidden="false" customHeight="true" outlineLevel="0" collapsed="false">
      <c r="A28" s="97" t="s">
        <v>581</v>
      </c>
      <c r="B28" s="97" t="s">
        <v>582</v>
      </c>
      <c r="C28" s="97" t="s">
        <v>321</v>
      </c>
      <c r="D28" s="97" t="s">
        <v>583</v>
      </c>
      <c r="E28" s="27" t="n">
        <v>28799.7</v>
      </c>
      <c r="F28" s="27" t="n">
        <v>51858.7</v>
      </c>
      <c r="G28" s="27" t="n">
        <v>0</v>
      </c>
      <c r="H28" s="27" t="n">
        <v>0</v>
      </c>
      <c r="I28" s="27" t="n">
        <v>0</v>
      </c>
      <c r="J28" s="27" t="n">
        <v>0</v>
      </c>
      <c r="K28" s="27" t="n">
        <v>0</v>
      </c>
      <c r="L28" s="27" t="n">
        <v>0</v>
      </c>
      <c r="M28" s="27" t="n">
        <v>0</v>
      </c>
      <c r="N28" s="27" t="n">
        <v>0</v>
      </c>
      <c r="O28" s="27" t="n">
        <v>0</v>
      </c>
      <c r="P28" s="27" t="n">
        <v>0</v>
      </c>
    </row>
    <row r="29" customFormat="false" ht="15.75" hidden="false" customHeight="true" outlineLevel="0" collapsed="false">
      <c r="A29" s="149" t="s">
        <v>584</v>
      </c>
      <c r="B29" s="149" t="s">
        <v>582</v>
      </c>
      <c r="C29" s="149" t="s">
        <v>585</v>
      </c>
      <c r="D29" s="149" t="s">
        <v>586</v>
      </c>
      <c r="E29" s="150" t="n">
        <v>16583.525</v>
      </c>
      <c r="F29" s="150" t="n">
        <v>15486.86</v>
      </c>
      <c r="G29" s="150" t="n">
        <v>0</v>
      </c>
      <c r="H29" s="150" t="n">
        <v>0</v>
      </c>
      <c r="I29" s="150" t="n">
        <v>0</v>
      </c>
      <c r="J29" s="150" t="n">
        <v>0</v>
      </c>
      <c r="K29" s="150" t="n">
        <v>0</v>
      </c>
      <c r="L29" s="150" t="n">
        <v>0</v>
      </c>
      <c r="M29" s="150" t="n">
        <v>0</v>
      </c>
      <c r="N29" s="150" t="n">
        <v>0</v>
      </c>
      <c r="O29" s="150" t="n">
        <v>0</v>
      </c>
      <c r="P29" s="150" t="n">
        <v>0</v>
      </c>
    </row>
    <row r="30" customFormat="false" ht="15.75" hidden="false" customHeight="true" outlineLevel="0" collapsed="false">
      <c r="A30" s="97" t="s">
        <v>587</v>
      </c>
      <c r="B30" s="97" t="s">
        <v>588</v>
      </c>
      <c r="C30" s="97" t="s">
        <v>325</v>
      </c>
      <c r="D30" s="97" t="s">
        <v>589</v>
      </c>
      <c r="E30" s="27" t="n">
        <v>115284.9</v>
      </c>
      <c r="F30" s="27" t="n">
        <v>213550.1</v>
      </c>
      <c r="G30" s="27" t="n">
        <v>0</v>
      </c>
      <c r="H30" s="27" t="n">
        <v>0</v>
      </c>
      <c r="I30" s="27" t="n">
        <v>0</v>
      </c>
      <c r="J30" s="27" t="n">
        <v>0</v>
      </c>
      <c r="K30" s="27" t="n">
        <v>0</v>
      </c>
      <c r="L30" s="27" t="n">
        <v>0</v>
      </c>
      <c r="M30" s="27" t="n">
        <v>0</v>
      </c>
      <c r="N30" s="27" t="n">
        <v>0</v>
      </c>
      <c r="O30" s="27" t="n">
        <v>0</v>
      </c>
      <c r="P30" s="27" t="n">
        <v>0</v>
      </c>
    </row>
    <row r="31" customFormat="false" ht="15.75" hidden="false" customHeight="true" outlineLevel="0" collapsed="false">
      <c r="A31" s="149" t="s">
        <v>590</v>
      </c>
      <c r="B31" s="149" t="s">
        <v>582</v>
      </c>
      <c r="C31" s="149" t="s">
        <v>591</v>
      </c>
      <c r="D31" s="149" t="s">
        <v>592</v>
      </c>
      <c r="E31" s="150" t="n">
        <v>37335</v>
      </c>
      <c r="F31" s="150" t="n">
        <v>59888.56</v>
      </c>
      <c r="G31" s="150" t="n">
        <v>0</v>
      </c>
      <c r="H31" s="150" t="n">
        <v>0</v>
      </c>
      <c r="I31" s="150" t="n">
        <v>0</v>
      </c>
      <c r="J31" s="150" t="n">
        <v>0</v>
      </c>
      <c r="K31" s="150" t="n">
        <v>0</v>
      </c>
      <c r="L31" s="150" t="n">
        <v>0</v>
      </c>
      <c r="M31" s="150" t="n">
        <v>0</v>
      </c>
      <c r="N31" s="150" t="n">
        <v>0</v>
      </c>
      <c r="O31" s="150" t="n">
        <v>0</v>
      </c>
      <c r="P31" s="150" t="n">
        <v>0</v>
      </c>
    </row>
    <row r="32" customFormat="false" ht="15.75" hidden="false" customHeight="true" outlineLevel="0" collapsed="false">
      <c r="A32" s="97" t="s">
        <v>593</v>
      </c>
      <c r="B32" s="97" t="s">
        <v>588</v>
      </c>
      <c r="C32" s="97" t="s">
        <v>327</v>
      </c>
      <c r="D32" s="97" t="s">
        <v>594</v>
      </c>
      <c r="E32" s="27" t="n">
        <v>79413.45</v>
      </c>
      <c r="F32" s="27" t="n">
        <v>0</v>
      </c>
      <c r="G32" s="27" t="n">
        <v>0</v>
      </c>
      <c r="H32" s="27" t="n">
        <v>0</v>
      </c>
      <c r="I32" s="27" t="n">
        <v>0</v>
      </c>
      <c r="J32" s="27" t="n">
        <v>0</v>
      </c>
      <c r="K32" s="27" t="n">
        <v>0</v>
      </c>
      <c r="L32" s="27" t="n">
        <v>0</v>
      </c>
      <c r="M32" s="27" t="n">
        <v>0</v>
      </c>
      <c r="N32" s="27" t="n">
        <v>0</v>
      </c>
      <c r="O32" s="27" t="n">
        <v>0</v>
      </c>
      <c r="P32" s="27" t="n">
        <v>0</v>
      </c>
    </row>
    <row r="33" customFormat="false" ht="15.75" hidden="false" customHeight="true" outlineLevel="0" collapsed="false">
      <c r="A33" s="149" t="s">
        <v>595</v>
      </c>
      <c r="B33" s="149" t="s">
        <v>582</v>
      </c>
      <c r="C33" s="149" t="s">
        <v>596</v>
      </c>
      <c r="D33" s="149" t="s">
        <v>597</v>
      </c>
      <c r="E33" s="150" t="n">
        <v>6574.56</v>
      </c>
      <c r="F33" s="150" t="n">
        <v>10105.89</v>
      </c>
      <c r="G33" s="150" t="n">
        <v>0</v>
      </c>
      <c r="H33" s="150" t="n">
        <v>0</v>
      </c>
      <c r="I33" s="150" t="n">
        <v>0</v>
      </c>
      <c r="J33" s="150" t="n">
        <v>0</v>
      </c>
      <c r="K33" s="150" t="n">
        <v>0</v>
      </c>
      <c r="L33" s="150" t="n">
        <v>0</v>
      </c>
      <c r="M33" s="150" t="n">
        <v>0</v>
      </c>
      <c r="N33" s="150" t="n">
        <v>0</v>
      </c>
      <c r="O33" s="150" t="n">
        <v>0</v>
      </c>
      <c r="P33" s="150" t="n">
        <v>0</v>
      </c>
    </row>
    <row r="34" customFormat="false" ht="15.75" hidden="false" customHeight="true" outlineLevel="0" collapsed="false">
      <c r="A34" s="97" t="s">
        <v>598</v>
      </c>
      <c r="B34" s="97" t="s">
        <v>599</v>
      </c>
      <c r="C34" s="97" t="s">
        <v>329</v>
      </c>
      <c r="D34" s="97" t="s">
        <v>600</v>
      </c>
      <c r="E34" s="27" t="n">
        <v>204173.7</v>
      </c>
      <c r="F34" s="27" t="n">
        <v>283118.9</v>
      </c>
      <c r="G34" s="27" t="n">
        <v>0</v>
      </c>
      <c r="H34" s="27" t="n">
        <v>0</v>
      </c>
      <c r="I34" s="27" t="n">
        <v>0</v>
      </c>
      <c r="J34" s="27" t="n">
        <v>0</v>
      </c>
      <c r="K34" s="27" t="n">
        <v>0</v>
      </c>
      <c r="L34" s="27" t="n">
        <v>0</v>
      </c>
      <c r="M34" s="27" t="n">
        <v>0</v>
      </c>
      <c r="N34" s="27" t="n">
        <v>0</v>
      </c>
      <c r="O34" s="27" t="n">
        <v>0</v>
      </c>
      <c r="P34" s="27" t="n">
        <v>0</v>
      </c>
    </row>
    <row r="35" customFormat="false" ht="15.75" hidden="false" customHeight="true" outlineLevel="0" collapsed="false">
      <c r="A35" s="149" t="s">
        <v>601</v>
      </c>
      <c r="B35" s="149" t="s">
        <v>602</v>
      </c>
      <c r="C35" s="149" t="s">
        <v>603</v>
      </c>
      <c r="D35" s="149" t="s">
        <v>604</v>
      </c>
      <c r="E35" s="150" t="n">
        <v>133667.12</v>
      </c>
      <c r="F35" s="150" t="n">
        <v>163986.35</v>
      </c>
      <c r="G35" s="150" t="n">
        <v>0</v>
      </c>
      <c r="H35" s="150" t="n">
        <v>0</v>
      </c>
      <c r="I35" s="150" t="n">
        <v>0</v>
      </c>
      <c r="J35" s="150" t="n">
        <v>0</v>
      </c>
      <c r="K35" s="150" t="n">
        <v>0</v>
      </c>
      <c r="L35" s="150" t="n">
        <v>0</v>
      </c>
      <c r="M35" s="150" t="n">
        <v>0</v>
      </c>
      <c r="N35" s="150" t="n">
        <v>0</v>
      </c>
      <c r="O35" s="150" t="n">
        <v>0</v>
      </c>
      <c r="P35" s="150" t="n">
        <v>0</v>
      </c>
    </row>
    <row r="36" customFormat="false" ht="15.75" hidden="false" customHeight="true" outlineLevel="0" collapsed="false">
      <c r="A36" s="97" t="s">
        <v>605</v>
      </c>
      <c r="B36" s="97" t="s">
        <v>602</v>
      </c>
      <c r="C36" s="97" t="s">
        <v>606</v>
      </c>
      <c r="D36" s="97" t="s">
        <v>607</v>
      </c>
      <c r="E36" s="27" t="n">
        <v>112743.65</v>
      </c>
      <c r="F36" s="27" t="n">
        <v>144874.5</v>
      </c>
      <c r="G36" s="27" t="n">
        <v>0</v>
      </c>
      <c r="H36" s="27" t="n">
        <v>0</v>
      </c>
      <c r="I36" s="27" t="n">
        <v>0</v>
      </c>
      <c r="J36" s="27" t="n">
        <v>0</v>
      </c>
      <c r="K36" s="27" t="n">
        <v>0</v>
      </c>
      <c r="L36" s="27" t="n">
        <v>0</v>
      </c>
      <c r="M36" s="27" t="n">
        <v>0</v>
      </c>
      <c r="N36" s="27" t="n">
        <v>0</v>
      </c>
      <c r="O36" s="27" t="n">
        <v>0</v>
      </c>
      <c r="P36" s="27" t="n">
        <v>0</v>
      </c>
    </row>
    <row r="37" customFormat="false" ht="15.75" hidden="false" customHeight="true" outlineLevel="0" collapsed="false">
      <c r="A37" s="149" t="s">
        <v>608</v>
      </c>
      <c r="B37" s="149" t="s">
        <v>602</v>
      </c>
      <c r="C37" s="149" t="s">
        <v>609</v>
      </c>
      <c r="D37" s="149" t="s">
        <v>610</v>
      </c>
      <c r="E37" s="150" t="n">
        <v>107365.35</v>
      </c>
      <c r="F37" s="150" t="n">
        <v>139500.4</v>
      </c>
      <c r="G37" s="150" t="n">
        <v>0</v>
      </c>
      <c r="H37" s="150" t="n">
        <v>0</v>
      </c>
      <c r="I37" s="150" t="n">
        <v>0</v>
      </c>
      <c r="J37" s="150" t="n">
        <v>0</v>
      </c>
      <c r="K37" s="150" t="n">
        <v>0</v>
      </c>
      <c r="L37" s="150" t="n">
        <v>0</v>
      </c>
      <c r="M37" s="150" t="n">
        <v>0</v>
      </c>
      <c r="N37" s="150" t="n">
        <v>0</v>
      </c>
      <c r="O37" s="150" t="n">
        <v>0</v>
      </c>
      <c r="P37" s="150" t="n">
        <v>0</v>
      </c>
    </row>
    <row r="38" customFormat="false" ht="15.75" hidden="false" customHeight="true" outlineLevel="0" collapsed="false">
      <c r="A38" s="97" t="s">
        <v>611</v>
      </c>
      <c r="B38" s="97" t="s">
        <v>612</v>
      </c>
      <c r="C38" s="97" t="s">
        <v>331</v>
      </c>
      <c r="D38" s="97" t="s">
        <v>613</v>
      </c>
      <c r="E38" s="27" t="n">
        <v>361920.5</v>
      </c>
      <c r="F38" s="27" t="n">
        <v>435906.9</v>
      </c>
      <c r="G38" s="27" t="n">
        <v>0</v>
      </c>
      <c r="H38" s="27" t="n">
        <v>0</v>
      </c>
      <c r="I38" s="27" t="n">
        <v>0</v>
      </c>
      <c r="J38" s="27" t="n">
        <v>0</v>
      </c>
      <c r="K38" s="27" t="n">
        <v>0</v>
      </c>
      <c r="L38" s="27" t="n">
        <v>0</v>
      </c>
      <c r="M38" s="27" t="n">
        <v>0</v>
      </c>
      <c r="N38" s="27" t="n">
        <v>0</v>
      </c>
      <c r="O38" s="27" t="n">
        <v>0</v>
      </c>
      <c r="P38" s="27" t="n">
        <v>0</v>
      </c>
    </row>
    <row r="39" customFormat="false" ht="15.75" hidden="false" customHeight="true" outlineLevel="0" collapsed="false">
      <c r="A39" s="149" t="s">
        <v>614</v>
      </c>
      <c r="B39" s="149" t="s">
        <v>582</v>
      </c>
      <c r="C39" s="149" t="s">
        <v>332</v>
      </c>
      <c r="D39" s="149" t="s">
        <v>615</v>
      </c>
      <c r="E39" s="150" t="n">
        <v>8329.15</v>
      </c>
      <c r="F39" s="150" t="n">
        <v>12627.1</v>
      </c>
      <c r="G39" s="150" t="n">
        <v>0</v>
      </c>
      <c r="H39" s="150" t="n">
        <v>0</v>
      </c>
      <c r="I39" s="150" t="n">
        <v>0</v>
      </c>
      <c r="J39" s="150" t="n">
        <v>0</v>
      </c>
      <c r="K39" s="150" t="n">
        <v>0</v>
      </c>
      <c r="L39" s="150" t="n">
        <v>0</v>
      </c>
      <c r="M39" s="150" t="n">
        <v>0</v>
      </c>
      <c r="N39" s="150" t="n">
        <v>0</v>
      </c>
      <c r="O39" s="150" t="n">
        <v>0</v>
      </c>
      <c r="P39" s="150" t="n">
        <v>0</v>
      </c>
    </row>
    <row r="40" customFormat="false" ht="15.75" hidden="false" customHeight="true" outlineLevel="0" collapsed="false">
      <c r="A40" s="97" t="s">
        <v>616</v>
      </c>
      <c r="B40" s="97" t="s">
        <v>617</v>
      </c>
      <c r="C40" s="97" t="s">
        <v>618</v>
      </c>
      <c r="D40" s="97" t="s">
        <v>619</v>
      </c>
      <c r="E40" s="27" t="n">
        <v>69024.69</v>
      </c>
      <c r="F40" s="27" t="n">
        <v>91678.87</v>
      </c>
      <c r="G40" s="27" t="n">
        <v>0</v>
      </c>
      <c r="H40" s="27" t="n">
        <v>0</v>
      </c>
      <c r="I40" s="27" t="n">
        <v>0</v>
      </c>
      <c r="J40" s="27" t="n">
        <v>0</v>
      </c>
      <c r="K40" s="27" t="n">
        <v>0</v>
      </c>
      <c r="L40" s="27" t="n">
        <v>0</v>
      </c>
      <c r="M40" s="27" t="n">
        <v>0</v>
      </c>
      <c r="N40" s="27" t="n">
        <v>0</v>
      </c>
      <c r="O40" s="27" t="n">
        <v>0</v>
      </c>
      <c r="P40" s="27" t="n">
        <v>0</v>
      </c>
    </row>
    <row r="42" customFormat="false" ht="15" hidden="false" customHeight="true" outlineLevel="0" collapsed="false">
      <c r="A42" s="151" t="s">
        <v>621</v>
      </c>
      <c r="B42" s="151"/>
      <c r="C42" s="151"/>
      <c r="D42" s="151"/>
      <c r="E42" s="151"/>
      <c r="F42" s="151"/>
      <c r="G42" s="151"/>
      <c r="H42" s="151"/>
      <c r="I42" s="151"/>
      <c r="J42" s="151"/>
      <c r="K42" s="151"/>
      <c r="L42" s="151"/>
      <c r="M42" s="151"/>
      <c r="N42" s="151"/>
      <c r="O42" s="151"/>
      <c r="P42" s="151"/>
      <c r="Q42" s="151"/>
      <c r="R42" s="151"/>
      <c r="S42" s="151"/>
      <c r="T42" s="151"/>
    </row>
    <row r="43" customFormat="false" ht="15" hidden="false" customHeight="true" outlineLevel="0" collapsed="false">
      <c r="A43" s="152" t="s">
        <v>558</v>
      </c>
      <c r="B43" s="152" t="s">
        <v>559</v>
      </c>
      <c r="C43" s="152" t="s">
        <v>560</v>
      </c>
      <c r="D43" s="152" t="s">
        <v>561</v>
      </c>
      <c r="E43" s="152" t="s">
        <v>318</v>
      </c>
      <c r="F43" s="152" t="s">
        <v>337</v>
      </c>
      <c r="G43" s="152" t="s">
        <v>338</v>
      </c>
      <c r="H43" s="152" t="s">
        <v>562</v>
      </c>
      <c r="I43" s="152" t="s">
        <v>563</v>
      </c>
      <c r="J43" s="152" t="s">
        <v>564</v>
      </c>
      <c r="K43" s="152" t="s">
        <v>565</v>
      </c>
      <c r="L43" s="152" t="s">
        <v>566</v>
      </c>
      <c r="M43" s="152" t="s">
        <v>567</v>
      </c>
      <c r="N43" s="152" t="s">
        <v>568</v>
      </c>
      <c r="O43" s="152" t="s">
        <v>569</v>
      </c>
      <c r="P43" s="152" t="s">
        <v>570</v>
      </c>
    </row>
    <row r="44" customFormat="false" ht="15.75" hidden="false" customHeight="true" outlineLevel="0" collapsed="false">
      <c r="A44" s="153" t="s">
        <v>571</v>
      </c>
      <c r="B44" s="153" t="s">
        <v>572</v>
      </c>
      <c r="C44" s="153" t="s">
        <v>573</v>
      </c>
      <c r="D44" s="153" t="s">
        <v>574</v>
      </c>
      <c r="E44" s="154" t="n">
        <v>0.217</v>
      </c>
      <c r="F44" s="154" t="n">
        <v>0.217</v>
      </c>
      <c r="G44" s="154" t="n">
        <v>0.217</v>
      </c>
      <c r="H44" s="154" t="n">
        <v>0.217</v>
      </c>
      <c r="I44" s="154" t="n">
        <v>0.217</v>
      </c>
      <c r="J44" s="154" t="n">
        <v>0.217</v>
      </c>
      <c r="K44" s="154" t="n">
        <v>0.217</v>
      </c>
      <c r="L44" s="154" t="n">
        <v>0.217</v>
      </c>
      <c r="M44" s="154" t="n">
        <v>0.217</v>
      </c>
      <c r="N44" s="154" t="n">
        <v>0.217</v>
      </c>
      <c r="O44" s="154" t="n">
        <v>0.217</v>
      </c>
      <c r="P44" s="154" t="n">
        <v>0.217</v>
      </c>
    </row>
    <row r="45" customFormat="false" ht="15.75" hidden="false" customHeight="true" outlineLevel="0" collapsed="false">
      <c r="A45" s="97" t="s">
        <v>575</v>
      </c>
      <c r="B45" s="97" t="s">
        <v>572</v>
      </c>
      <c r="C45" s="97" t="s">
        <v>576</v>
      </c>
      <c r="D45" s="97" t="s">
        <v>577</v>
      </c>
      <c r="E45" s="155" t="n">
        <v>0</v>
      </c>
      <c r="F45" s="155" t="n">
        <v>0</v>
      </c>
      <c r="G45" s="155" t="n">
        <v>0</v>
      </c>
      <c r="H45" s="155" t="n">
        <v>0</v>
      </c>
      <c r="I45" s="155" t="n">
        <v>0</v>
      </c>
      <c r="J45" s="155" t="n">
        <v>0</v>
      </c>
      <c r="K45" s="155" t="n">
        <v>0</v>
      </c>
      <c r="L45" s="155" t="n">
        <v>0</v>
      </c>
      <c r="M45" s="155" t="n">
        <v>0</v>
      </c>
      <c r="N45" s="155" t="n">
        <v>0</v>
      </c>
      <c r="O45" s="155" t="n">
        <v>0</v>
      </c>
      <c r="P45" s="155" t="n">
        <v>0</v>
      </c>
    </row>
    <row r="46" customFormat="false" ht="15.75" hidden="false" customHeight="true" outlineLevel="0" collapsed="false">
      <c r="A46" s="153" t="s">
        <v>578</v>
      </c>
      <c r="B46" s="153" t="s">
        <v>572</v>
      </c>
      <c r="C46" s="153" t="s">
        <v>579</v>
      </c>
      <c r="D46" s="153" t="s">
        <v>580</v>
      </c>
      <c r="E46" s="154" t="n">
        <v>0</v>
      </c>
      <c r="F46" s="154" t="n">
        <v>0</v>
      </c>
      <c r="G46" s="154" t="n">
        <v>0</v>
      </c>
      <c r="H46" s="154" t="n">
        <v>0</v>
      </c>
      <c r="I46" s="154" t="n">
        <v>0</v>
      </c>
      <c r="J46" s="154" t="n">
        <v>0</v>
      </c>
      <c r="K46" s="154" t="n">
        <v>0</v>
      </c>
      <c r="L46" s="154" t="n">
        <v>0</v>
      </c>
      <c r="M46" s="154" t="n">
        <v>0</v>
      </c>
      <c r="N46" s="154" t="n">
        <v>0</v>
      </c>
      <c r="O46" s="154" t="n">
        <v>0</v>
      </c>
      <c r="P46" s="154" t="n">
        <v>0</v>
      </c>
    </row>
    <row r="47" customFormat="false" ht="15.75" hidden="false" customHeight="true" outlineLevel="0" collapsed="false">
      <c r="A47" s="97" t="s">
        <v>581</v>
      </c>
      <c r="B47" s="97" t="s">
        <v>582</v>
      </c>
      <c r="C47" s="97" t="s">
        <v>321</v>
      </c>
      <c r="D47" s="97" t="s">
        <v>583</v>
      </c>
      <c r="E47" s="155" t="n">
        <v>0.488</v>
      </c>
      <c r="F47" s="155" t="n">
        <v>0.488</v>
      </c>
      <c r="G47" s="155" t="n">
        <v>0.488</v>
      </c>
      <c r="H47" s="155" t="n">
        <v>0.488</v>
      </c>
      <c r="I47" s="155" t="n">
        <v>0.488</v>
      </c>
      <c r="J47" s="155" t="n">
        <v>0.488</v>
      </c>
      <c r="K47" s="155" t="n">
        <v>0.488</v>
      </c>
      <c r="L47" s="155" t="n">
        <v>0.488</v>
      </c>
      <c r="M47" s="155" t="n">
        <v>0.488</v>
      </c>
      <c r="N47" s="155" t="n">
        <v>0.488</v>
      </c>
      <c r="O47" s="155" t="n">
        <v>0.488</v>
      </c>
      <c r="P47" s="155" t="n">
        <v>0.488</v>
      </c>
    </row>
    <row r="48" customFormat="false" ht="15.75" hidden="false" customHeight="true" outlineLevel="0" collapsed="false">
      <c r="A48" s="153" t="s">
        <v>584</v>
      </c>
      <c r="B48" s="153" t="s">
        <v>582</v>
      </c>
      <c r="C48" s="153" t="s">
        <v>585</v>
      </c>
      <c r="D48" s="153" t="s">
        <v>586</v>
      </c>
      <c r="E48" s="154" t="n">
        <v>0</v>
      </c>
      <c r="F48" s="154" t="n">
        <v>0</v>
      </c>
      <c r="G48" s="154" t="n">
        <v>0</v>
      </c>
      <c r="H48" s="154" t="n">
        <v>0</v>
      </c>
      <c r="I48" s="154" t="n">
        <v>0</v>
      </c>
      <c r="J48" s="154" t="n">
        <v>0</v>
      </c>
      <c r="K48" s="154" t="n">
        <v>0</v>
      </c>
      <c r="L48" s="154" t="n">
        <v>0</v>
      </c>
      <c r="M48" s="154" t="n">
        <v>0</v>
      </c>
      <c r="N48" s="154" t="n">
        <v>0</v>
      </c>
      <c r="O48" s="154" t="n">
        <v>0</v>
      </c>
      <c r="P48" s="154" t="n">
        <v>0</v>
      </c>
    </row>
    <row r="49" customFormat="false" ht="15.75" hidden="false" customHeight="true" outlineLevel="0" collapsed="false">
      <c r="A49" s="97" t="s">
        <v>587</v>
      </c>
      <c r="B49" s="97" t="s">
        <v>588</v>
      </c>
      <c r="C49" s="97" t="s">
        <v>325</v>
      </c>
      <c r="D49" s="97" t="s">
        <v>589</v>
      </c>
      <c r="E49" s="155" t="n">
        <v>0.251</v>
      </c>
      <c r="F49" s="155" t="n">
        <v>0.251</v>
      </c>
      <c r="G49" s="155" t="n">
        <v>0.251</v>
      </c>
      <c r="H49" s="155" t="n">
        <v>0.251</v>
      </c>
      <c r="I49" s="155" t="n">
        <v>0.251</v>
      </c>
      <c r="J49" s="155" t="n">
        <v>0.251</v>
      </c>
      <c r="K49" s="155" t="n">
        <v>0.251</v>
      </c>
      <c r="L49" s="155" t="n">
        <v>0.251</v>
      </c>
      <c r="M49" s="155" t="n">
        <v>0.251</v>
      </c>
      <c r="N49" s="155" t="n">
        <v>0.251</v>
      </c>
      <c r="O49" s="155" t="n">
        <v>0.251</v>
      </c>
      <c r="P49" s="155" t="n">
        <v>0.251</v>
      </c>
    </row>
    <row r="50" customFormat="false" ht="15.75" hidden="false" customHeight="true" outlineLevel="0" collapsed="false">
      <c r="A50" s="153" t="s">
        <v>590</v>
      </c>
      <c r="B50" s="153" t="s">
        <v>582</v>
      </c>
      <c r="C50" s="153" t="s">
        <v>591</v>
      </c>
      <c r="D50" s="153" t="s">
        <v>592</v>
      </c>
      <c r="E50" s="154" t="n">
        <v>0.207</v>
      </c>
      <c r="F50" s="154" t="n">
        <v>0.207</v>
      </c>
      <c r="G50" s="154" t="n">
        <v>0.207</v>
      </c>
      <c r="H50" s="154" t="n">
        <v>0.207</v>
      </c>
      <c r="I50" s="154" t="n">
        <v>0.207</v>
      </c>
      <c r="J50" s="154" t="n">
        <v>0.207</v>
      </c>
      <c r="K50" s="154" t="n">
        <v>0.207</v>
      </c>
      <c r="L50" s="154" t="n">
        <v>0.207</v>
      </c>
      <c r="M50" s="154" t="n">
        <v>0.207</v>
      </c>
      <c r="N50" s="154" t="n">
        <v>0.207</v>
      </c>
      <c r="O50" s="154" t="n">
        <v>0.207</v>
      </c>
      <c r="P50" s="154" t="n">
        <v>0.207</v>
      </c>
    </row>
    <row r="51" customFormat="false" ht="15.75" hidden="false" customHeight="true" outlineLevel="0" collapsed="false">
      <c r="A51" s="97" t="s">
        <v>593</v>
      </c>
      <c r="B51" s="97" t="s">
        <v>588</v>
      </c>
      <c r="C51" s="97" t="s">
        <v>327</v>
      </c>
      <c r="D51" s="97" t="s">
        <v>594</v>
      </c>
      <c r="E51" s="155" t="n">
        <v>0.314</v>
      </c>
      <c r="F51" s="155" t="n">
        <v>0.314</v>
      </c>
      <c r="G51" s="155" t="n">
        <v>0.314</v>
      </c>
      <c r="H51" s="155" t="n">
        <v>0.314</v>
      </c>
      <c r="I51" s="155" t="n">
        <v>0.314</v>
      </c>
      <c r="J51" s="155" t="n">
        <v>0.314</v>
      </c>
      <c r="K51" s="155" t="n">
        <v>0.314</v>
      </c>
      <c r="L51" s="155" t="n">
        <v>0.314</v>
      </c>
      <c r="M51" s="155" t="n">
        <v>0.314</v>
      </c>
      <c r="N51" s="155" t="n">
        <v>0.314</v>
      </c>
      <c r="O51" s="155" t="n">
        <v>0.314</v>
      </c>
      <c r="P51" s="155" t="n">
        <v>0.314</v>
      </c>
    </row>
    <row r="52" customFormat="false" ht="15.75" hidden="false" customHeight="true" outlineLevel="0" collapsed="false">
      <c r="A52" s="153" t="s">
        <v>595</v>
      </c>
      <c r="B52" s="153" t="s">
        <v>582</v>
      </c>
      <c r="C52" s="153" t="s">
        <v>596</v>
      </c>
      <c r="D52" s="153" t="s">
        <v>597</v>
      </c>
      <c r="E52" s="154" t="n">
        <v>0.384</v>
      </c>
      <c r="F52" s="154" t="n">
        <v>0.384</v>
      </c>
      <c r="G52" s="154" t="n">
        <v>0.384</v>
      </c>
      <c r="H52" s="154" t="n">
        <v>0.384</v>
      </c>
      <c r="I52" s="154" t="n">
        <v>0.384</v>
      </c>
      <c r="J52" s="154" t="n">
        <v>0.384</v>
      </c>
      <c r="K52" s="154" t="n">
        <v>0.384</v>
      </c>
      <c r="L52" s="154" t="n">
        <v>0.384</v>
      </c>
      <c r="M52" s="154" t="n">
        <v>0.384</v>
      </c>
      <c r="N52" s="154" t="n">
        <v>0.384</v>
      </c>
      <c r="O52" s="154" t="n">
        <v>0.384</v>
      </c>
      <c r="P52" s="154" t="n">
        <v>0.384</v>
      </c>
    </row>
    <row r="53" customFormat="false" ht="15.75" hidden="false" customHeight="true" outlineLevel="0" collapsed="false">
      <c r="A53" s="97" t="s">
        <v>598</v>
      </c>
      <c r="B53" s="97" t="s">
        <v>599</v>
      </c>
      <c r="C53" s="97" t="s">
        <v>329</v>
      </c>
      <c r="D53" s="97" t="s">
        <v>600</v>
      </c>
      <c r="E53" s="155" t="n">
        <v>0.285</v>
      </c>
      <c r="F53" s="155" t="n">
        <v>0.285</v>
      </c>
      <c r="G53" s="155" t="n">
        <v>0.285</v>
      </c>
      <c r="H53" s="155" t="n">
        <v>0.285</v>
      </c>
      <c r="I53" s="155" t="n">
        <v>0.285</v>
      </c>
      <c r="J53" s="155" t="n">
        <v>0.285</v>
      </c>
      <c r="K53" s="155" t="n">
        <v>0.285</v>
      </c>
      <c r="L53" s="155" t="n">
        <v>0.285</v>
      </c>
      <c r="M53" s="155" t="n">
        <v>0.285</v>
      </c>
      <c r="N53" s="155" t="n">
        <v>0.285</v>
      </c>
      <c r="O53" s="155" t="n">
        <v>0.285</v>
      </c>
      <c r="P53" s="155" t="n">
        <v>0.285</v>
      </c>
    </row>
    <row r="54" customFormat="false" ht="15.75" hidden="false" customHeight="true" outlineLevel="0" collapsed="false">
      <c r="A54" s="153" t="s">
        <v>601</v>
      </c>
      <c r="B54" s="153" t="s">
        <v>602</v>
      </c>
      <c r="C54" s="153" t="s">
        <v>603</v>
      </c>
      <c r="D54" s="153" t="s">
        <v>604</v>
      </c>
      <c r="E54" s="154" t="n">
        <v>0.491</v>
      </c>
      <c r="F54" s="154" t="n">
        <v>0.491</v>
      </c>
      <c r="G54" s="154" t="n">
        <v>0.491</v>
      </c>
      <c r="H54" s="154" t="n">
        <v>0.491</v>
      </c>
      <c r="I54" s="154" t="n">
        <v>0.491</v>
      </c>
      <c r="J54" s="154" t="n">
        <v>0.491</v>
      </c>
      <c r="K54" s="154" t="n">
        <v>0.491</v>
      </c>
      <c r="L54" s="154" t="n">
        <v>0.491</v>
      </c>
      <c r="M54" s="154" t="n">
        <v>0.491</v>
      </c>
      <c r="N54" s="154" t="n">
        <v>0.491</v>
      </c>
      <c r="O54" s="154" t="n">
        <v>0.491</v>
      </c>
      <c r="P54" s="154" t="n">
        <v>0.491</v>
      </c>
    </row>
    <row r="55" customFormat="false" ht="15.75" hidden="false" customHeight="true" outlineLevel="0" collapsed="false">
      <c r="A55" s="97" t="s">
        <v>605</v>
      </c>
      <c r="B55" s="97" t="s">
        <v>602</v>
      </c>
      <c r="C55" s="97" t="s">
        <v>606</v>
      </c>
      <c r="D55" s="97" t="s">
        <v>607</v>
      </c>
      <c r="E55" s="155" t="n">
        <v>0.49</v>
      </c>
      <c r="F55" s="155" t="n">
        <v>0.49</v>
      </c>
      <c r="G55" s="155" t="n">
        <v>0.49</v>
      </c>
      <c r="H55" s="155" t="n">
        <v>0.49</v>
      </c>
      <c r="I55" s="155" t="n">
        <v>0.49</v>
      </c>
      <c r="J55" s="155" t="n">
        <v>0.49</v>
      </c>
      <c r="K55" s="155" t="n">
        <v>0.49</v>
      </c>
      <c r="L55" s="155" t="n">
        <v>0.49</v>
      </c>
      <c r="M55" s="155" t="n">
        <v>0.49</v>
      </c>
      <c r="N55" s="155" t="n">
        <v>0.49</v>
      </c>
      <c r="O55" s="155" t="n">
        <v>0.49</v>
      </c>
      <c r="P55" s="155" t="n">
        <v>0.49</v>
      </c>
    </row>
    <row r="56" customFormat="false" ht="15.75" hidden="false" customHeight="true" outlineLevel="0" collapsed="false">
      <c r="A56" s="153" t="s">
        <v>608</v>
      </c>
      <c r="B56" s="153" t="s">
        <v>602</v>
      </c>
      <c r="C56" s="153" t="s">
        <v>609</v>
      </c>
      <c r="D56" s="153" t="s">
        <v>610</v>
      </c>
      <c r="E56" s="154" t="n">
        <v>0.49</v>
      </c>
      <c r="F56" s="154" t="n">
        <v>0.49</v>
      </c>
      <c r="G56" s="154" t="n">
        <v>0.49</v>
      </c>
      <c r="H56" s="154" t="n">
        <v>0.49</v>
      </c>
      <c r="I56" s="154" t="n">
        <v>0.49</v>
      </c>
      <c r="J56" s="154" t="n">
        <v>0.49</v>
      </c>
      <c r="K56" s="154" t="n">
        <v>0.49</v>
      </c>
      <c r="L56" s="154" t="n">
        <v>0.49</v>
      </c>
      <c r="M56" s="154" t="n">
        <v>0.49</v>
      </c>
      <c r="N56" s="154" t="n">
        <v>0.49</v>
      </c>
      <c r="O56" s="154" t="n">
        <v>0.49</v>
      </c>
      <c r="P56" s="154" t="n">
        <v>0.49</v>
      </c>
    </row>
    <row r="57" customFormat="false" ht="15.75" hidden="false" customHeight="true" outlineLevel="0" collapsed="false">
      <c r="A57" s="97" t="s">
        <v>611</v>
      </c>
      <c r="B57" s="97" t="s">
        <v>612</v>
      </c>
      <c r="C57" s="97" t="s">
        <v>331</v>
      </c>
      <c r="D57" s="97" t="s">
        <v>613</v>
      </c>
      <c r="E57" s="155" t="n">
        <v>0.322</v>
      </c>
      <c r="F57" s="155" t="n">
        <v>0.322</v>
      </c>
      <c r="G57" s="155" t="n">
        <v>0.322</v>
      </c>
      <c r="H57" s="155" t="n">
        <v>0.322</v>
      </c>
      <c r="I57" s="155" t="n">
        <v>0.322</v>
      </c>
      <c r="J57" s="155" t="n">
        <v>0.322</v>
      </c>
      <c r="K57" s="155" t="n">
        <v>0.322</v>
      </c>
      <c r="L57" s="155" t="n">
        <v>0.322</v>
      </c>
      <c r="M57" s="155" t="n">
        <v>0.322</v>
      </c>
      <c r="N57" s="155" t="n">
        <v>0.322</v>
      </c>
      <c r="O57" s="155" t="n">
        <v>0.322</v>
      </c>
      <c r="P57" s="155" t="n">
        <v>0.322</v>
      </c>
    </row>
    <row r="58" customFormat="false" ht="15.75" hidden="false" customHeight="true" outlineLevel="0" collapsed="false">
      <c r="A58" s="153" t="s">
        <v>614</v>
      </c>
      <c r="B58" s="153" t="s">
        <v>582</v>
      </c>
      <c r="C58" s="153" t="s">
        <v>332</v>
      </c>
      <c r="D58" s="153" t="s">
        <v>615</v>
      </c>
      <c r="E58" s="154" t="n">
        <v>0</v>
      </c>
      <c r="F58" s="154" t="n">
        <v>0</v>
      </c>
      <c r="G58" s="154" t="n">
        <v>0</v>
      </c>
      <c r="H58" s="154" t="n">
        <v>0</v>
      </c>
      <c r="I58" s="154" t="n">
        <v>0</v>
      </c>
      <c r="J58" s="154" t="n">
        <v>0</v>
      </c>
      <c r="K58" s="154" t="n">
        <v>0</v>
      </c>
      <c r="L58" s="154" t="n">
        <v>0</v>
      </c>
      <c r="M58" s="154" t="n">
        <v>0</v>
      </c>
      <c r="N58" s="154" t="n">
        <v>0</v>
      </c>
      <c r="O58" s="154" t="n">
        <v>0</v>
      </c>
      <c r="P58" s="154" t="n">
        <v>0</v>
      </c>
    </row>
    <row r="59" customFormat="false" ht="15.75" hidden="false" customHeight="true" outlineLevel="0" collapsed="false">
      <c r="A59" s="97" t="s">
        <v>616</v>
      </c>
      <c r="B59" s="97" t="s">
        <v>617</v>
      </c>
      <c r="C59" s="97" t="s">
        <v>618</v>
      </c>
      <c r="D59" s="97" t="s">
        <v>619</v>
      </c>
      <c r="E59" s="155" t="n">
        <v>0.13462</v>
      </c>
      <c r="F59" s="155" t="n">
        <v>0.13462</v>
      </c>
      <c r="G59" s="155" t="n">
        <v>0.13462</v>
      </c>
      <c r="H59" s="155" t="n">
        <v>0.13462</v>
      </c>
      <c r="I59" s="155" t="n">
        <v>0.13462</v>
      </c>
      <c r="J59" s="155" t="n">
        <v>0.13462</v>
      </c>
      <c r="K59" s="155" t="n">
        <v>0.13462</v>
      </c>
      <c r="L59" s="155" t="n">
        <v>0.13462</v>
      </c>
      <c r="M59" s="155" t="n">
        <v>0.13462</v>
      </c>
      <c r="N59" s="155" t="n">
        <v>0.13462</v>
      </c>
      <c r="O59" s="155" t="n">
        <v>0.13462</v>
      </c>
      <c r="P59" s="155" t="n">
        <v>0.13462</v>
      </c>
    </row>
  </sheetData>
  <mergeCells count="4">
    <mergeCell ref="A1:T1"/>
    <mergeCell ref="A3:T3"/>
    <mergeCell ref="A23:T23"/>
    <mergeCell ref="A42:T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27"/>
    <pageSetUpPr fitToPage="false"/>
  </sheetPr>
  <dimension ref="B1:R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"/>
    <col collapsed="false" customWidth="true" hidden="false" outlineLevel="0" max="3" min="3" style="1" width="16"/>
    <col collapsed="false" customWidth="true" hidden="false" outlineLevel="0" max="4" min="4" style="1" width="28"/>
    <col collapsed="false" customWidth="true" hidden="false" outlineLevel="0" max="5" min="5" style="1" width="12"/>
    <col collapsed="false" customWidth="true" hidden="false" outlineLevel="0" max="17" min="6" style="1" width="13"/>
    <col collapsed="false" customWidth="true" hidden="false" outlineLevel="0" max="18" min="18" style="1" width="15"/>
  </cols>
  <sheetData>
    <row r="1" customFormat="false" ht="15" hidden="false" customHeight="true" outlineLevel="0" collapsed="false">
      <c r="B1" s="156" t="s">
        <v>622</v>
      </c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</row>
    <row r="2" customFormat="false" ht="15" hidden="false" customHeight="true" outlineLevel="0" collapsed="false"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</row>
    <row r="3" customFormat="false" ht="15" hidden="false" customHeight="true" outlineLevel="0" collapsed="false"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</row>
    <row r="4" customFormat="false" ht="15" hidden="false" customHeight="true" outlineLevel="0" collapsed="false">
      <c r="B4" s="157" t="s">
        <v>623</v>
      </c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</row>
    <row r="6" customFormat="false" ht="24" hidden="false" customHeight="true" outlineLevel="0" collapsed="false">
      <c r="B6" s="158" t="s">
        <v>624</v>
      </c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</row>
    <row r="7" customFormat="false" ht="27.75" hidden="false" customHeight="true" outlineLevel="0" collapsed="false">
      <c r="B7" s="159" t="s">
        <v>345</v>
      </c>
      <c r="C7" s="159" t="s">
        <v>558</v>
      </c>
      <c r="D7" s="160" t="s">
        <v>625</v>
      </c>
      <c r="E7" s="152" t="s">
        <v>626</v>
      </c>
      <c r="F7" s="159" t="s">
        <v>530</v>
      </c>
      <c r="G7" s="159" t="s">
        <v>531</v>
      </c>
      <c r="H7" s="159" t="s">
        <v>532</v>
      </c>
      <c r="I7" s="159" t="s">
        <v>533</v>
      </c>
      <c r="J7" s="159" t="s">
        <v>534</v>
      </c>
      <c r="K7" s="159" t="s">
        <v>535</v>
      </c>
      <c r="L7" s="159" t="s">
        <v>536</v>
      </c>
      <c r="M7" s="159" t="s">
        <v>537</v>
      </c>
      <c r="N7" s="159" t="s">
        <v>538</v>
      </c>
      <c r="O7" s="159" t="s">
        <v>539</v>
      </c>
      <c r="P7" s="159" t="s">
        <v>540</v>
      </c>
      <c r="Q7" s="159" t="s">
        <v>541</v>
      </c>
      <c r="R7" s="161" t="s">
        <v>627</v>
      </c>
    </row>
    <row r="8" customFormat="false" ht="16.5" hidden="false" customHeight="true" outlineLevel="0" collapsed="false">
      <c r="B8" s="38" t="n">
        <v>1</v>
      </c>
      <c r="C8" s="22" t="s">
        <v>571</v>
      </c>
      <c r="D8" s="162" t="s">
        <v>573</v>
      </c>
      <c r="E8" s="163" t="n">
        <f aca="false">IFERROR(AVERAGE(SRC_Incentivi!E44:P44),0)</f>
        <v>0.217</v>
      </c>
      <c r="F8" s="107" t="n">
        <f aca="false">IFERROR(SRC_Incentivi!E5*SRC_Incentivi!E44,0)</f>
        <v>109614.078</v>
      </c>
      <c r="G8" s="107" t="n">
        <f aca="false">IFERROR(SRC_Incentivi!F5*SRC_Incentivi!F44,0)</f>
        <v>109614.078</v>
      </c>
      <c r="H8" s="107" t="n">
        <f aca="false">IFERROR(SRC_Incentivi!G5*SRC_Incentivi!G44,0)</f>
        <v>109614.078</v>
      </c>
      <c r="I8" s="107" t="n">
        <f aca="false">IFERROR(SRC_Incentivi!H5*SRC_Incentivi!H44,0)</f>
        <v>0</v>
      </c>
      <c r="J8" s="107" t="n">
        <f aca="false">IFERROR(SRC_Incentivi!I5*SRC_Incentivi!I44,0)</f>
        <v>0</v>
      </c>
      <c r="K8" s="107" t="n">
        <f aca="false">IFERROR(SRC_Incentivi!J5*SRC_Incentivi!J44,0)</f>
        <v>0</v>
      </c>
      <c r="L8" s="107" t="n">
        <f aca="false">IFERROR(SRC_Incentivi!K5*SRC_Incentivi!K44,0)</f>
        <v>0</v>
      </c>
      <c r="M8" s="107" t="n">
        <f aca="false">IFERROR(SRC_Incentivi!L5*SRC_Incentivi!L44,0)</f>
        <v>0</v>
      </c>
      <c r="N8" s="107" t="n">
        <f aca="false">IFERROR(SRC_Incentivi!M5*SRC_Incentivi!M44,0)</f>
        <v>0</v>
      </c>
      <c r="O8" s="107" t="n">
        <f aca="false">IFERROR(SRC_Incentivi!N5*SRC_Incentivi!N44,0)</f>
        <v>0</v>
      </c>
      <c r="P8" s="107" t="n">
        <f aca="false">IFERROR(SRC_Incentivi!O5*SRC_Incentivi!O44,0)</f>
        <v>0</v>
      </c>
      <c r="Q8" s="107" t="n">
        <f aca="false">IFERROR(SRC_Incentivi!P5*SRC_Incentivi!P44,0)</f>
        <v>0</v>
      </c>
      <c r="R8" s="40" t="n">
        <f aca="false">SUM(F8:Q8)</f>
        <v>328842.234</v>
      </c>
    </row>
    <row r="9" customFormat="false" ht="16.5" hidden="false" customHeight="true" outlineLevel="0" collapsed="false">
      <c r="B9" s="38" t="n">
        <v>2</v>
      </c>
      <c r="C9" s="22" t="s">
        <v>575</v>
      </c>
      <c r="D9" s="162" t="s">
        <v>576</v>
      </c>
      <c r="E9" s="163" t="n">
        <f aca="false">IFERROR(AVERAGE(SRC_Incentivi!E45:P45),0)</f>
        <v>0</v>
      </c>
      <c r="F9" s="116" t="n">
        <f aca="false">IFERROR(SRC_Incentivi!E6*SRC_Incentivi!E45,0)</f>
        <v>0</v>
      </c>
      <c r="G9" s="116" t="n">
        <f aca="false">IFERROR(SRC_Incentivi!F6*SRC_Incentivi!F45,0)</f>
        <v>0</v>
      </c>
      <c r="H9" s="116" t="n">
        <f aca="false">IFERROR(SRC_Incentivi!G6*SRC_Incentivi!G45,0)</f>
        <v>0</v>
      </c>
      <c r="I9" s="116" t="n">
        <f aca="false">IFERROR(SRC_Incentivi!H6*SRC_Incentivi!H45,0)</f>
        <v>0</v>
      </c>
      <c r="J9" s="116" t="n">
        <f aca="false">IFERROR(SRC_Incentivi!I6*SRC_Incentivi!I45,0)</f>
        <v>0</v>
      </c>
      <c r="K9" s="116" t="n">
        <f aca="false">IFERROR(SRC_Incentivi!J6*SRC_Incentivi!J45,0)</f>
        <v>0</v>
      </c>
      <c r="L9" s="116" t="n">
        <f aca="false">IFERROR(SRC_Incentivi!K6*SRC_Incentivi!K45,0)</f>
        <v>0</v>
      </c>
      <c r="M9" s="116" t="n">
        <f aca="false">IFERROR(SRC_Incentivi!L6*SRC_Incentivi!L45,0)</f>
        <v>0</v>
      </c>
      <c r="N9" s="116" t="n">
        <f aca="false">IFERROR(SRC_Incentivi!M6*SRC_Incentivi!M45,0)</f>
        <v>0</v>
      </c>
      <c r="O9" s="116" t="n">
        <f aca="false">IFERROR(SRC_Incentivi!N6*SRC_Incentivi!N45,0)</f>
        <v>0</v>
      </c>
      <c r="P9" s="116" t="n">
        <f aca="false">IFERROR(SRC_Incentivi!O6*SRC_Incentivi!O45,0)</f>
        <v>0</v>
      </c>
      <c r="Q9" s="116" t="n">
        <f aca="false">IFERROR(SRC_Incentivi!P6*SRC_Incentivi!P45,0)</f>
        <v>0</v>
      </c>
      <c r="R9" s="43" t="n">
        <f aca="false">SUM(F9:Q9)</f>
        <v>0</v>
      </c>
    </row>
    <row r="10" customFormat="false" ht="16.5" hidden="false" customHeight="true" outlineLevel="0" collapsed="false">
      <c r="B10" s="38" t="n">
        <v>3</v>
      </c>
      <c r="C10" s="22" t="s">
        <v>578</v>
      </c>
      <c r="D10" s="162" t="s">
        <v>579</v>
      </c>
      <c r="E10" s="163" t="n">
        <f aca="false">IFERROR(AVERAGE(SRC_Incentivi!E46:P46),0)</f>
        <v>0</v>
      </c>
      <c r="F10" s="107" t="n">
        <f aca="false">IFERROR(SRC_Incentivi!E7*SRC_Incentivi!E46,0)</f>
        <v>0</v>
      </c>
      <c r="G10" s="107" t="n">
        <f aca="false">IFERROR(SRC_Incentivi!F7*SRC_Incentivi!F46,0)</f>
        <v>0</v>
      </c>
      <c r="H10" s="107" t="n">
        <f aca="false">IFERROR(SRC_Incentivi!G7*SRC_Incentivi!G46,0)</f>
        <v>0</v>
      </c>
      <c r="I10" s="107" t="n">
        <f aca="false">IFERROR(SRC_Incentivi!H7*SRC_Incentivi!H46,0)</f>
        <v>0</v>
      </c>
      <c r="J10" s="107" t="n">
        <f aca="false">IFERROR(SRC_Incentivi!I7*SRC_Incentivi!I46,0)</f>
        <v>0</v>
      </c>
      <c r="K10" s="107" t="n">
        <f aca="false">IFERROR(SRC_Incentivi!J7*SRC_Incentivi!J46,0)</f>
        <v>0</v>
      </c>
      <c r="L10" s="107" t="n">
        <f aca="false">IFERROR(SRC_Incentivi!K7*SRC_Incentivi!K46,0)</f>
        <v>0</v>
      </c>
      <c r="M10" s="107" t="n">
        <f aca="false">IFERROR(SRC_Incentivi!L7*SRC_Incentivi!L46,0)</f>
        <v>0</v>
      </c>
      <c r="N10" s="107" t="n">
        <f aca="false">IFERROR(SRC_Incentivi!M7*SRC_Incentivi!M46,0)</f>
        <v>0</v>
      </c>
      <c r="O10" s="107" t="n">
        <f aca="false">IFERROR(SRC_Incentivi!N7*SRC_Incentivi!N46,0)</f>
        <v>0</v>
      </c>
      <c r="P10" s="107" t="n">
        <f aca="false">IFERROR(SRC_Incentivi!O7*SRC_Incentivi!O46,0)</f>
        <v>0</v>
      </c>
      <c r="Q10" s="107" t="n">
        <f aca="false">IFERROR(SRC_Incentivi!P7*SRC_Incentivi!P46,0)</f>
        <v>0</v>
      </c>
      <c r="R10" s="40" t="n">
        <f aca="false">SUM(F10:Q10)</f>
        <v>0</v>
      </c>
    </row>
    <row r="11" customFormat="false" ht="16.5" hidden="false" customHeight="true" outlineLevel="0" collapsed="false">
      <c r="B11" s="38" t="n">
        <v>4</v>
      </c>
      <c r="C11" s="22" t="s">
        <v>581</v>
      </c>
      <c r="D11" s="162" t="s">
        <v>321</v>
      </c>
      <c r="E11" s="163" t="n">
        <f aca="false">IFERROR(AVERAGE(SRC_Incentivi!E47:P47),0)</f>
        <v>0.488</v>
      </c>
      <c r="F11" s="116" t="n">
        <f aca="false">IFERROR(SRC_Incentivi!E8*SRC_Incentivi!E47,0)</f>
        <v>33285.016</v>
      </c>
      <c r="G11" s="116" t="n">
        <f aca="false">IFERROR(SRC_Incentivi!F8*SRC_Incentivi!F47,0)</f>
        <v>33285.016</v>
      </c>
      <c r="H11" s="116" t="n">
        <f aca="false">IFERROR(SRC_Incentivi!G8*SRC_Incentivi!G47,0)</f>
        <v>33285.016</v>
      </c>
      <c r="I11" s="116" t="n">
        <f aca="false">IFERROR(SRC_Incentivi!H8*SRC_Incentivi!H47,0)</f>
        <v>0</v>
      </c>
      <c r="J11" s="116" t="n">
        <f aca="false">IFERROR(SRC_Incentivi!I8*SRC_Incentivi!I47,0)</f>
        <v>0</v>
      </c>
      <c r="K11" s="116" t="n">
        <f aca="false">IFERROR(SRC_Incentivi!J8*SRC_Incentivi!J47,0)</f>
        <v>0</v>
      </c>
      <c r="L11" s="116" t="n">
        <f aca="false">IFERROR(SRC_Incentivi!K8*SRC_Incentivi!K47,0)</f>
        <v>0</v>
      </c>
      <c r="M11" s="116" t="n">
        <f aca="false">IFERROR(SRC_Incentivi!L8*SRC_Incentivi!L47,0)</f>
        <v>0</v>
      </c>
      <c r="N11" s="116" t="n">
        <f aca="false">IFERROR(SRC_Incentivi!M8*SRC_Incentivi!M47,0)</f>
        <v>0</v>
      </c>
      <c r="O11" s="116" t="n">
        <f aca="false">IFERROR(SRC_Incentivi!N8*SRC_Incentivi!N47,0)</f>
        <v>0</v>
      </c>
      <c r="P11" s="116" t="n">
        <f aca="false">IFERROR(SRC_Incentivi!O8*SRC_Incentivi!O47,0)</f>
        <v>0</v>
      </c>
      <c r="Q11" s="116" t="n">
        <f aca="false">IFERROR(SRC_Incentivi!P8*SRC_Incentivi!P47,0)</f>
        <v>0</v>
      </c>
      <c r="R11" s="43" t="n">
        <f aca="false">SUM(F11:Q11)</f>
        <v>99855.048</v>
      </c>
    </row>
    <row r="12" customFormat="false" ht="16.5" hidden="false" customHeight="true" outlineLevel="0" collapsed="false">
      <c r="B12" s="38" t="n">
        <v>5</v>
      </c>
      <c r="C12" s="22" t="s">
        <v>584</v>
      </c>
      <c r="D12" s="162" t="s">
        <v>585</v>
      </c>
      <c r="E12" s="163" t="n">
        <f aca="false">IFERROR(AVERAGE(SRC_Incentivi!E48:P48),0)</f>
        <v>0</v>
      </c>
      <c r="F12" s="107" t="n">
        <f aca="false">IFERROR(SRC_Incentivi!E9*SRC_Incentivi!E48,0)</f>
        <v>0</v>
      </c>
      <c r="G12" s="107" t="n">
        <f aca="false">IFERROR(SRC_Incentivi!F9*SRC_Incentivi!F48,0)</f>
        <v>0</v>
      </c>
      <c r="H12" s="107" t="n">
        <f aca="false">IFERROR(SRC_Incentivi!G9*SRC_Incentivi!G48,0)</f>
        <v>0</v>
      </c>
      <c r="I12" s="107" t="n">
        <f aca="false">IFERROR(SRC_Incentivi!H9*SRC_Incentivi!H48,0)</f>
        <v>0</v>
      </c>
      <c r="J12" s="107" t="n">
        <f aca="false">IFERROR(SRC_Incentivi!I9*SRC_Incentivi!I48,0)</f>
        <v>0</v>
      </c>
      <c r="K12" s="107" t="n">
        <f aca="false">IFERROR(SRC_Incentivi!J9*SRC_Incentivi!J48,0)</f>
        <v>0</v>
      </c>
      <c r="L12" s="107" t="n">
        <f aca="false">IFERROR(SRC_Incentivi!K9*SRC_Incentivi!K48,0)</f>
        <v>0</v>
      </c>
      <c r="M12" s="107" t="n">
        <f aca="false">IFERROR(SRC_Incentivi!L9*SRC_Incentivi!L48,0)</f>
        <v>0</v>
      </c>
      <c r="N12" s="107" t="n">
        <f aca="false">IFERROR(SRC_Incentivi!M9*SRC_Incentivi!M48,0)</f>
        <v>0</v>
      </c>
      <c r="O12" s="107" t="n">
        <f aca="false">IFERROR(SRC_Incentivi!N9*SRC_Incentivi!N48,0)</f>
        <v>0</v>
      </c>
      <c r="P12" s="107" t="n">
        <f aca="false">IFERROR(SRC_Incentivi!O9*SRC_Incentivi!O48,0)</f>
        <v>0</v>
      </c>
      <c r="Q12" s="107" t="n">
        <f aca="false">IFERROR(SRC_Incentivi!P9*SRC_Incentivi!P48,0)</f>
        <v>0</v>
      </c>
      <c r="R12" s="40" t="n">
        <f aca="false">SUM(F12:Q12)</f>
        <v>0</v>
      </c>
    </row>
    <row r="13" customFormat="false" ht="16.5" hidden="false" customHeight="true" outlineLevel="0" collapsed="false">
      <c r="B13" s="38" t="n">
        <v>6</v>
      </c>
      <c r="C13" s="22" t="s">
        <v>587</v>
      </c>
      <c r="D13" s="162" t="s">
        <v>325</v>
      </c>
      <c r="E13" s="163" t="n">
        <f aca="false">IFERROR(AVERAGE(SRC_Incentivi!E49:P49),0)</f>
        <v>0.251</v>
      </c>
      <c r="F13" s="116" t="n">
        <f aca="false">IFERROR(SRC_Incentivi!E10*SRC_Incentivi!E49,0)</f>
        <v>81201.01</v>
      </c>
      <c r="G13" s="116" t="n">
        <f aca="false">IFERROR(SRC_Incentivi!F10*SRC_Incentivi!F49,0)</f>
        <v>81201.01</v>
      </c>
      <c r="H13" s="116" t="n">
        <f aca="false">IFERROR(SRC_Incentivi!G10*SRC_Incentivi!G49,0)</f>
        <v>81201.01</v>
      </c>
      <c r="I13" s="116" t="n">
        <f aca="false">IFERROR(SRC_Incentivi!H10*SRC_Incentivi!H49,0)</f>
        <v>0</v>
      </c>
      <c r="J13" s="116" t="n">
        <f aca="false">IFERROR(SRC_Incentivi!I10*SRC_Incentivi!I49,0)</f>
        <v>0</v>
      </c>
      <c r="K13" s="116" t="n">
        <f aca="false">IFERROR(SRC_Incentivi!J10*SRC_Incentivi!J49,0)</f>
        <v>0</v>
      </c>
      <c r="L13" s="116" t="n">
        <f aca="false">IFERROR(SRC_Incentivi!K10*SRC_Incentivi!K49,0)</f>
        <v>0</v>
      </c>
      <c r="M13" s="116" t="n">
        <f aca="false">IFERROR(SRC_Incentivi!L10*SRC_Incentivi!L49,0)</f>
        <v>0</v>
      </c>
      <c r="N13" s="116" t="n">
        <f aca="false">IFERROR(SRC_Incentivi!M10*SRC_Incentivi!M49,0)</f>
        <v>0</v>
      </c>
      <c r="O13" s="116" t="n">
        <f aca="false">IFERROR(SRC_Incentivi!N10*SRC_Incentivi!N49,0)</f>
        <v>0</v>
      </c>
      <c r="P13" s="116" t="n">
        <f aca="false">IFERROR(SRC_Incentivi!O10*SRC_Incentivi!O49,0)</f>
        <v>0</v>
      </c>
      <c r="Q13" s="116" t="n">
        <f aca="false">IFERROR(SRC_Incentivi!P10*SRC_Incentivi!P49,0)</f>
        <v>0</v>
      </c>
      <c r="R13" s="43" t="n">
        <f aca="false">SUM(F13:Q13)</f>
        <v>243603.03</v>
      </c>
    </row>
    <row r="14" customFormat="false" ht="16.5" hidden="false" customHeight="true" outlineLevel="0" collapsed="false">
      <c r="B14" s="38" t="n">
        <v>7</v>
      </c>
      <c r="C14" s="22" t="s">
        <v>590</v>
      </c>
      <c r="D14" s="162" t="s">
        <v>591</v>
      </c>
      <c r="E14" s="163" t="n">
        <f aca="false">IFERROR(AVERAGE(SRC_Incentivi!E50:P50),0)</f>
        <v>0.207</v>
      </c>
      <c r="F14" s="107" t="n">
        <f aca="false">IFERROR(SRC_Incentivi!E11*SRC_Incentivi!E50,0)</f>
        <v>5535.594</v>
      </c>
      <c r="G14" s="107" t="n">
        <f aca="false">IFERROR(SRC_Incentivi!F11*SRC_Incentivi!F50,0)</f>
        <v>5535.594</v>
      </c>
      <c r="H14" s="107" t="n">
        <f aca="false">IFERROR(SRC_Incentivi!G11*SRC_Incentivi!G50,0)</f>
        <v>5535.594</v>
      </c>
      <c r="I14" s="107" t="n">
        <f aca="false">IFERROR(SRC_Incentivi!H11*SRC_Incentivi!H50,0)</f>
        <v>0</v>
      </c>
      <c r="J14" s="107" t="n">
        <f aca="false">IFERROR(SRC_Incentivi!I11*SRC_Incentivi!I50,0)</f>
        <v>0</v>
      </c>
      <c r="K14" s="107" t="n">
        <f aca="false">IFERROR(SRC_Incentivi!J11*SRC_Incentivi!J50,0)</f>
        <v>0</v>
      </c>
      <c r="L14" s="107" t="n">
        <f aca="false">IFERROR(SRC_Incentivi!K11*SRC_Incentivi!K50,0)</f>
        <v>0</v>
      </c>
      <c r="M14" s="107" t="n">
        <f aca="false">IFERROR(SRC_Incentivi!L11*SRC_Incentivi!L50,0)</f>
        <v>0</v>
      </c>
      <c r="N14" s="107" t="n">
        <f aca="false">IFERROR(SRC_Incentivi!M11*SRC_Incentivi!M50,0)</f>
        <v>0</v>
      </c>
      <c r="O14" s="107" t="n">
        <f aca="false">IFERROR(SRC_Incentivi!N11*SRC_Incentivi!N50,0)</f>
        <v>0</v>
      </c>
      <c r="P14" s="107" t="n">
        <f aca="false">IFERROR(SRC_Incentivi!O11*SRC_Incentivi!O50,0)</f>
        <v>0</v>
      </c>
      <c r="Q14" s="107" t="n">
        <f aca="false">IFERROR(SRC_Incentivi!P11*SRC_Incentivi!P50,0)</f>
        <v>0</v>
      </c>
      <c r="R14" s="40" t="n">
        <f aca="false">SUM(F14:Q14)</f>
        <v>16606.782</v>
      </c>
    </row>
    <row r="15" customFormat="false" ht="16.5" hidden="false" customHeight="true" outlineLevel="0" collapsed="false">
      <c r="B15" s="38" t="n">
        <v>8</v>
      </c>
      <c r="C15" s="22" t="s">
        <v>593</v>
      </c>
      <c r="D15" s="162" t="s">
        <v>327</v>
      </c>
      <c r="E15" s="163" t="n">
        <f aca="false">IFERROR(AVERAGE(SRC_Incentivi!E51:P51),0)</f>
        <v>0.314</v>
      </c>
      <c r="F15" s="116" t="n">
        <f aca="false">IFERROR(SRC_Incentivi!E12*SRC_Incentivi!E51,0)</f>
        <v>56234.888</v>
      </c>
      <c r="G15" s="116" t="n">
        <f aca="false">IFERROR(SRC_Incentivi!F12*SRC_Incentivi!F51,0)</f>
        <v>56234.888</v>
      </c>
      <c r="H15" s="116" t="n">
        <f aca="false">IFERROR(SRC_Incentivi!G12*SRC_Incentivi!G51,0)</f>
        <v>56234.888</v>
      </c>
      <c r="I15" s="116" t="n">
        <f aca="false">IFERROR(SRC_Incentivi!H12*SRC_Incentivi!H51,0)</f>
        <v>0</v>
      </c>
      <c r="J15" s="116" t="n">
        <f aca="false">IFERROR(SRC_Incentivi!I12*SRC_Incentivi!I51,0)</f>
        <v>0</v>
      </c>
      <c r="K15" s="116" t="n">
        <f aca="false">IFERROR(SRC_Incentivi!J12*SRC_Incentivi!J51,0)</f>
        <v>0</v>
      </c>
      <c r="L15" s="116" t="n">
        <f aca="false">IFERROR(SRC_Incentivi!K12*SRC_Incentivi!K51,0)</f>
        <v>0</v>
      </c>
      <c r="M15" s="116" t="n">
        <f aca="false">IFERROR(SRC_Incentivi!L12*SRC_Incentivi!L51,0)</f>
        <v>0</v>
      </c>
      <c r="N15" s="116" t="n">
        <f aca="false">IFERROR(SRC_Incentivi!M12*SRC_Incentivi!M51,0)</f>
        <v>0</v>
      </c>
      <c r="O15" s="116" t="n">
        <f aca="false">IFERROR(SRC_Incentivi!N12*SRC_Incentivi!N51,0)</f>
        <v>0</v>
      </c>
      <c r="P15" s="116" t="n">
        <f aca="false">IFERROR(SRC_Incentivi!O12*SRC_Incentivi!O51,0)</f>
        <v>0</v>
      </c>
      <c r="Q15" s="116" t="n">
        <f aca="false">IFERROR(SRC_Incentivi!P12*SRC_Incentivi!P51,0)</f>
        <v>0</v>
      </c>
      <c r="R15" s="43" t="n">
        <f aca="false">SUM(F15:Q15)</f>
        <v>168704.664</v>
      </c>
    </row>
    <row r="16" customFormat="false" ht="16.5" hidden="false" customHeight="true" outlineLevel="0" collapsed="false">
      <c r="B16" s="38" t="n">
        <v>9</v>
      </c>
      <c r="C16" s="22" t="s">
        <v>595</v>
      </c>
      <c r="D16" s="162" t="s">
        <v>596</v>
      </c>
      <c r="E16" s="163" t="n">
        <f aca="false">IFERROR(AVERAGE(SRC_Incentivi!E52:P52),0)</f>
        <v>0.384</v>
      </c>
      <c r="F16" s="107" t="n">
        <f aca="false">IFERROR(SRC_Incentivi!E13*SRC_Incentivi!E52,0)</f>
        <v>4934.4</v>
      </c>
      <c r="G16" s="107" t="n">
        <f aca="false">IFERROR(SRC_Incentivi!F13*SRC_Incentivi!F52,0)</f>
        <v>4934.4</v>
      </c>
      <c r="H16" s="107" t="n">
        <f aca="false">IFERROR(SRC_Incentivi!G13*SRC_Incentivi!G52,0)</f>
        <v>4934.4</v>
      </c>
      <c r="I16" s="107" t="n">
        <f aca="false">IFERROR(SRC_Incentivi!H13*SRC_Incentivi!H52,0)</f>
        <v>0</v>
      </c>
      <c r="J16" s="107" t="n">
        <f aca="false">IFERROR(SRC_Incentivi!I13*SRC_Incentivi!I52,0)</f>
        <v>0</v>
      </c>
      <c r="K16" s="107" t="n">
        <f aca="false">IFERROR(SRC_Incentivi!J13*SRC_Incentivi!J52,0)</f>
        <v>0</v>
      </c>
      <c r="L16" s="107" t="n">
        <f aca="false">IFERROR(SRC_Incentivi!K13*SRC_Incentivi!K52,0)</f>
        <v>0</v>
      </c>
      <c r="M16" s="107" t="n">
        <f aca="false">IFERROR(SRC_Incentivi!L13*SRC_Incentivi!L52,0)</f>
        <v>0</v>
      </c>
      <c r="N16" s="107" t="n">
        <f aca="false">IFERROR(SRC_Incentivi!M13*SRC_Incentivi!M52,0)</f>
        <v>0</v>
      </c>
      <c r="O16" s="107" t="n">
        <f aca="false">IFERROR(SRC_Incentivi!N13*SRC_Incentivi!N52,0)</f>
        <v>0</v>
      </c>
      <c r="P16" s="107" t="n">
        <f aca="false">IFERROR(SRC_Incentivi!O13*SRC_Incentivi!O52,0)</f>
        <v>0</v>
      </c>
      <c r="Q16" s="107" t="n">
        <f aca="false">IFERROR(SRC_Incentivi!P13*SRC_Incentivi!P52,0)</f>
        <v>0</v>
      </c>
      <c r="R16" s="40" t="n">
        <f aca="false">SUM(F16:Q16)</f>
        <v>14803.2</v>
      </c>
    </row>
    <row r="17" customFormat="false" ht="16.5" hidden="false" customHeight="true" outlineLevel="0" collapsed="false">
      <c r="B17" s="38" t="n">
        <v>10</v>
      </c>
      <c r="C17" s="22" t="s">
        <v>598</v>
      </c>
      <c r="D17" s="162" t="s">
        <v>329</v>
      </c>
      <c r="E17" s="163" t="n">
        <f aca="false">IFERROR(AVERAGE(SRC_Incentivi!E53:P53),0)</f>
        <v>0.285</v>
      </c>
      <c r="F17" s="116" t="n">
        <f aca="false">IFERROR(SRC_Incentivi!E14*SRC_Incentivi!E53,0)</f>
        <v>114608.19</v>
      </c>
      <c r="G17" s="116" t="n">
        <f aca="false">IFERROR(SRC_Incentivi!F14*SRC_Incentivi!F53,0)</f>
        <v>114608.19</v>
      </c>
      <c r="H17" s="116" t="n">
        <f aca="false">IFERROR(SRC_Incentivi!G14*SRC_Incentivi!G53,0)</f>
        <v>114608.19</v>
      </c>
      <c r="I17" s="116" t="n">
        <f aca="false">IFERROR(SRC_Incentivi!H14*SRC_Incentivi!H53,0)</f>
        <v>0</v>
      </c>
      <c r="J17" s="116" t="n">
        <f aca="false">IFERROR(SRC_Incentivi!I14*SRC_Incentivi!I53,0)</f>
        <v>0</v>
      </c>
      <c r="K17" s="116" t="n">
        <f aca="false">IFERROR(SRC_Incentivi!J14*SRC_Incentivi!J53,0)</f>
        <v>0</v>
      </c>
      <c r="L17" s="116" t="n">
        <f aca="false">IFERROR(SRC_Incentivi!K14*SRC_Incentivi!K53,0)</f>
        <v>0</v>
      </c>
      <c r="M17" s="116" t="n">
        <f aca="false">IFERROR(SRC_Incentivi!L14*SRC_Incentivi!L53,0)</f>
        <v>0</v>
      </c>
      <c r="N17" s="116" t="n">
        <f aca="false">IFERROR(SRC_Incentivi!M14*SRC_Incentivi!M53,0)</f>
        <v>0</v>
      </c>
      <c r="O17" s="116" t="n">
        <f aca="false">IFERROR(SRC_Incentivi!N14*SRC_Incentivi!N53,0)</f>
        <v>0</v>
      </c>
      <c r="P17" s="116" t="n">
        <f aca="false">IFERROR(SRC_Incentivi!O14*SRC_Incentivi!O53,0)</f>
        <v>0</v>
      </c>
      <c r="Q17" s="116" t="n">
        <f aca="false">IFERROR(SRC_Incentivi!P14*SRC_Incentivi!P53,0)</f>
        <v>0</v>
      </c>
      <c r="R17" s="43" t="n">
        <f aca="false">SUM(F17:Q17)</f>
        <v>343824.57</v>
      </c>
    </row>
    <row r="18" customFormat="false" ht="16.5" hidden="false" customHeight="true" outlineLevel="0" collapsed="false">
      <c r="B18" s="38" t="n">
        <v>11</v>
      </c>
      <c r="C18" s="22" t="s">
        <v>601</v>
      </c>
      <c r="D18" s="162" t="s">
        <v>603</v>
      </c>
      <c r="E18" s="163" t="n">
        <f aca="false">IFERROR(AVERAGE(SRC_Incentivi!E54:P54),0)</f>
        <v>0.491</v>
      </c>
      <c r="F18" s="107" t="n">
        <f aca="false">IFERROR(SRC_Incentivi!E15*SRC_Incentivi!E54,0)</f>
        <v>122701.882</v>
      </c>
      <c r="G18" s="107" t="n">
        <f aca="false">IFERROR(SRC_Incentivi!F15*SRC_Incentivi!F54,0)</f>
        <v>122701.882</v>
      </c>
      <c r="H18" s="107" t="n">
        <f aca="false">IFERROR(SRC_Incentivi!G15*SRC_Incentivi!G54,0)</f>
        <v>122701.882</v>
      </c>
      <c r="I18" s="107" t="n">
        <f aca="false">IFERROR(SRC_Incentivi!H15*SRC_Incentivi!H54,0)</f>
        <v>0</v>
      </c>
      <c r="J18" s="107" t="n">
        <f aca="false">IFERROR(SRC_Incentivi!I15*SRC_Incentivi!I54,0)</f>
        <v>0</v>
      </c>
      <c r="K18" s="107" t="n">
        <f aca="false">IFERROR(SRC_Incentivi!J15*SRC_Incentivi!J54,0)</f>
        <v>0</v>
      </c>
      <c r="L18" s="107" t="n">
        <f aca="false">IFERROR(SRC_Incentivi!K15*SRC_Incentivi!K54,0)</f>
        <v>0</v>
      </c>
      <c r="M18" s="107" t="n">
        <f aca="false">IFERROR(SRC_Incentivi!L15*SRC_Incentivi!L54,0)</f>
        <v>0</v>
      </c>
      <c r="N18" s="107" t="n">
        <f aca="false">IFERROR(SRC_Incentivi!M15*SRC_Incentivi!M54,0)</f>
        <v>0</v>
      </c>
      <c r="O18" s="107" t="n">
        <f aca="false">IFERROR(SRC_Incentivi!N15*SRC_Incentivi!N54,0)</f>
        <v>0</v>
      </c>
      <c r="P18" s="107" t="n">
        <f aca="false">IFERROR(SRC_Incentivi!O15*SRC_Incentivi!O54,0)</f>
        <v>0</v>
      </c>
      <c r="Q18" s="107" t="n">
        <f aca="false">IFERROR(SRC_Incentivi!P15*SRC_Incentivi!P54,0)</f>
        <v>0</v>
      </c>
      <c r="R18" s="40" t="n">
        <f aca="false">SUM(F18:Q18)</f>
        <v>368105.646</v>
      </c>
    </row>
    <row r="19" customFormat="false" ht="16.5" hidden="false" customHeight="true" outlineLevel="0" collapsed="false">
      <c r="B19" s="38" t="n">
        <v>12</v>
      </c>
      <c r="C19" s="22" t="s">
        <v>605</v>
      </c>
      <c r="D19" s="162" t="s">
        <v>606</v>
      </c>
      <c r="E19" s="163" t="n">
        <f aca="false">IFERROR(AVERAGE(SRC_Incentivi!E55:P55),0)</f>
        <v>0.49</v>
      </c>
      <c r="F19" s="116" t="n">
        <f aca="false">IFERROR(SRC_Incentivi!E16*SRC_Incentivi!E55,0)</f>
        <v>104219.57</v>
      </c>
      <c r="G19" s="116" t="n">
        <f aca="false">IFERROR(SRC_Incentivi!F16*SRC_Incentivi!F55,0)</f>
        <v>104219.57</v>
      </c>
      <c r="H19" s="116" t="n">
        <f aca="false">IFERROR(SRC_Incentivi!G16*SRC_Incentivi!G55,0)</f>
        <v>104219.57</v>
      </c>
      <c r="I19" s="116" t="n">
        <f aca="false">IFERROR(SRC_Incentivi!H16*SRC_Incentivi!H55,0)</f>
        <v>0</v>
      </c>
      <c r="J19" s="116" t="n">
        <f aca="false">IFERROR(SRC_Incentivi!I16*SRC_Incentivi!I55,0)</f>
        <v>0</v>
      </c>
      <c r="K19" s="116" t="n">
        <f aca="false">IFERROR(SRC_Incentivi!J16*SRC_Incentivi!J55,0)</f>
        <v>0</v>
      </c>
      <c r="L19" s="116" t="n">
        <f aca="false">IFERROR(SRC_Incentivi!K16*SRC_Incentivi!K55,0)</f>
        <v>0</v>
      </c>
      <c r="M19" s="116" t="n">
        <f aca="false">IFERROR(SRC_Incentivi!L16*SRC_Incentivi!L55,0)</f>
        <v>0</v>
      </c>
      <c r="N19" s="116" t="n">
        <f aca="false">IFERROR(SRC_Incentivi!M16*SRC_Incentivi!M55,0)</f>
        <v>0</v>
      </c>
      <c r="O19" s="116" t="n">
        <f aca="false">IFERROR(SRC_Incentivi!N16*SRC_Incentivi!N55,0)</f>
        <v>0</v>
      </c>
      <c r="P19" s="116" t="n">
        <f aca="false">IFERROR(SRC_Incentivi!O16*SRC_Incentivi!O55,0)</f>
        <v>0</v>
      </c>
      <c r="Q19" s="116" t="n">
        <f aca="false">IFERROR(SRC_Incentivi!P16*SRC_Incentivi!P55,0)</f>
        <v>0</v>
      </c>
      <c r="R19" s="43" t="n">
        <f aca="false">SUM(F19:Q19)</f>
        <v>312658.71</v>
      </c>
    </row>
    <row r="20" customFormat="false" ht="16.5" hidden="false" customHeight="true" outlineLevel="0" collapsed="false">
      <c r="B20" s="38" t="n">
        <v>13</v>
      </c>
      <c r="C20" s="22" t="s">
        <v>608</v>
      </c>
      <c r="D20" s="162" t="s">
        <v>609</v>
      </c>
      <c r="E20" s="163" t="n">
        <f aca="false">IFERROR(AVERAGE(SRC_Incentivi!E56:P56),0)</f>
        <v>0.49</v>
      </c>
      <c r="F20" s="107" t="n">
        <f aca="false">IFERROR(SRC_Incentivi!E17*SRC_Incentivi!E56,0)</f>
        <v>99146.6</v>
      </c>
      <c r="G20" s="107" t="n">
        <f aca="false">IFERROR(SRC_Incentivi!F17*SRC_Incentivi!F56,0)</f>
        <v>99146.6</v>
      </c>
      <c r="H20" s="107" t="n">
        <f aca="false">IFERROR(SRC_Incentivi!G17*SRC_Incentivi!G56,0)</f>
        <v>99146.6</v>
      </c>
      <c r="I20" s="107" t="n">
        <f aca="false">IFERROR(SRC_Incentivi!H17*SRC_Incentivi!H56,0)</f>
        <v>0</v>
      </c>
      <c r="J20" s="107" t="n">
        <f aca="false">IFERROR(SRC_Incentivi!I17*SRC_Incentivi!I56,0)</f>
        <v>0</v>
      </c>
      <c r="K20" s="107" t="n">
        <f aca="false">IFERROR(SRC_Incentivi!J17*SRC_Incentivi!J56,0)</f>
        <v>0</v>
      </c>
      <c r="L20" s="107" t="n">
        <f aca="false">IFERROR(SRC_Incentivi!K17*SRC_Incentivi!K56,0)</f>
        <v>0</v>
      </c>
      <c r="M20" s="107" t="n">
        <f aca="false">IFERROR(SRC_Incentivi!L17*SRC_Incentivi!L56,0)</f>
        <v>0</v>
      </c>
      <c r="N20" s="107" t="n">
        <f aca="false">IFERROR(SRC_Incentivi!M17*SRC_Incentivi!M56,0)</f>
        <v>0</v>
      </c>
      <c r="O20" s="107" t="n">
        <f aca="false">IFERROR(SRC_Incentivi!N17*SRC_Incentivi!N56,0)</f>
        <v>0</v>
      </c>
      <c r="P20" s="107" t="n">
        <f aca="false">IFERROR(SRC_Incentivi!O17*SRC_Incentivi!O56,0)</f>
        <v>0</v>
      </c>
      <c r="Q20" s="107" t="n">
        <f aca="false">IFERROR(SRC_Incentivi!P17*SRC_Incentivi!P56,0)</f>
        <v>0</v>
      </c>
      <c r="R20" s="40" t="n">
        <f aca="false">SUM(F20:Q20)</f>
        <v>297439.8</v>
      </c>
    </row>
    <row r="21" customFormat="false" ht="16.5" hidden="false" customHeight="true" outlineLevel="0" collapsed="false">
      <c r="B21" s="38" t="n">
        <v>14</v>
      </c>
      <c r="C21" s="22" t="s">
        <v>611</v>
      </c>
      <c r="D21" s="162" t="s">
        <v>331</v>
      </c>
      <c r="E21" s="163" t="n">
        <f aca="false">IFERROR(AVERAGE(SRC_Incentivi!E57:P57),0)</f>
        <v>0.322</v>
      </c>
      <c r="F21" s="116" t="n">
        <f aca="false">IFERROR(SRC_Incentivi!E18*SRC_Incentivi!E57,0)</f>
        <v>208797.036</v>
      </c>
      <c r="G21" s="116" t="n">
        <f aca="false">IFERROR(SRC_Incentivi!F18*SRC_Incentivi!F57,0)</f>
        <v>208797.036</v>
      </c>
      <c r="H21" s="116" t="n">
        <f aca="false">IFERROR(SRC_Incentivi!G18*SRC_Incentivi!G57,0)</f>
        <v>208797.036</v>
      </c>
      <c r="I21" s="116" t="n">
        <f aca="false">IFERROR(SRC_Incentivi!H18*SRC_Incentivi!H57,0)</f>
        <v>0</v>
      </c>
      <c r="J21" s="116" t="n">
        <f aca="false">IFERROR(SRC_Incentivi!I18*SRC_Incentivi!I57,0)</f>
        <v>0</v>
      </c>
      <c r="K21" s="116" t="n">
        <f aca="false">IFERROR(SRC_Incentivi!J18*SRC_Incentivi!J57,0)</f>
        <v>0</v>
      </c>
      <c r="L21" s="116" t="n">
        <f aca="false">IFERROR(SRC_Incentivi!K18*SRC_Incentivi!K57,0)</f>
        <v>0</v>
      </c>
      <c r="M21" s="116" t="n">
        <f aca="false">IFERROR(SRC_Incentivi!L18*SRC_Incentivi!L57,0)</f>
        <v>0</v>
      </c>
      <c r="N21" s="116" t="n">
        <f aca="false">IFERROR(SRC_Incentivi!M18*SRC_Incentivi!M57,0)</f>
        <v>0</v>
      </c>
      <c r="O21" s="116" t="n">
        <f aca="false">IFERROR(SRC_Incentivi!N18*SRC_Incentivi!N57,0)</f>
        <v>0</v>
      </c>
      <c r="P21" s="116" t="n">
        <f aca="false">IFERROR(SRC_Incentivi!O18*SRC_Incentivi!O57,0)</f>
        <v>0</v>
      </c>
      <c r="Q21" s="116" t="n">
        <f aca="false">IFERROR(SRC_Incentivi!P18*SRC_Incentivi!P57,0)</f>
        <v>0</v>
      </c>
      <c r="R21" s="43" t="n">
        <f aca="false">SUM(F21:Q21)</f>
        <v>626391.108</v>
      </c>
    </row>
    <row r="22" customFormat="false" ht="16.5" hidden="false" customHeight="true" outlineLevel="0" collapsed="false">
      <c r="B22" s="38" t="n">
        <v>15</v>
      </c>
      <c r="C22" s="22" t="s">
        <v>614</v>
      </c>
      <c r="D22" s="162" t="s">
        <v>332</v>
      </c>
      <c r="E22" s="163" t="n">
        <f aca="false">IFERROR(AVERAGE(SRC_Incentivi!E58:P58),0)</f>
        <v>0</v>
      </c>
      <c r="F22" s="107" t="n">
        <f aca="false">IFERROR(SRC_Incentivi!E19*SRC_Incentivi!E58,0)</f>
        <v>0</v>
      </c>
      <c r="G22" s="107" t="n">
        <f aca="false">IFERROR(SRC_Incentivi!F19*SRC_Incentivi!F58,0)</f>
        <v>0</v>
      </c>
      <c r="H22" s="107" t="n">
        <f aca="false">IFERROR(SRC_Incentivi!G19*SRC_Incentivi!G58,0)</f>
        <v>0</v>
      </c>
      <c r="I22" s="107" t="n">
        <f aca="false">IFERROR(SRC_Incentivi!H19*SRC_Incentivi!H58,0)</f>
        <v>0</v>
      </c>
      <c r="J22" s="107" t="n">
        <f aca="false">IFERROR(SRC_Incentivi!I19*SRC_Incentivi!I58,0)</f>
        <v>0</v>
      </c>
      <c r="K22" s="107" t="n">
        <f aca="false">IFERROR(SRC_Incentivi!J19*SRC_Incentivi!J58,0)</f>
        <v>0</v>
      </c>
      <c r="L22" s="107" t="n">
        <f aca="false">IFERROR(SRC_Incentivi!K19*SRC_Incentivi!K58,0)</f>
        <v>0</v>
      </c>
      <c r="M22" s="107" t="n">
        <f aca="false">IFERROR(SRC_Incentivi!L19*SRC_Incentivi!L58,0)</f>
        <v>0</v>
      </c>
      <c r="N22" s="107" t="n">
        <f aca="false">IFERROR(SRC_Incentivi!M19*SRC_Incentivi!M58,0)</f>
        <v>0</v>
      </c>
      <c r="O22" s="107" t="n">
        <f aca="false">IFERROR(SRC_Incentivi!N19*SRC_Incentivi!N58,0)</f>
        <v>0</v>
      </c>
      <c r="P22" s="107" t="n">
        <f aca="false">IFERROR(SRC_Incentivi!O19*SRC_Incentivi!O58,0)</f>
        <v>0</v>
      </c>
      <c r="Q22" s="107" t="n">
        <f aca="false">IFERROR(SRC_Incentivi!P19*SRC_Incentivi!P58,0)</f>
        <v>0</v>
      </c>
      <c r="R22" s="40" t="n">
        <f aca="false">SUM(F22:Q22)</f>
        <v>0</v>
      </c>
    </row>
    <row r="23" customFormat="false" ht="16.5" hidden="false" customHeight="true" outlineLevel="0" collapsed="false">
      <c r="B23" s="38" t="n">
        <v>16</v>
      </c>
      <c r="C23" s="22" t="s">
        <v>616</v>
      </c>
      <c r="D23" s="162" t="s">
        <v>618</v>
      </c>
      <c r="E23" s="163" t="n">
        <f aca="false">IFERROR(AVERAGE(SRC_Incentivi!E59:P59),0)</f>
        <v>0.13462</v>
      </c>
      <c r="F23" s="116" t="n">
        <f aca="false">IFERROR(SRC_Incentivi!E20*SRC_Incentivi!E59,0)</f>
        <v>5264.18048</v>
      </c>
      <c r="G23" s="116" t="n">
        <f aca="false">IFERROR(SRC_Incentivi!F20*SRC_Incentivi!F59,0)</f>
        <v>0</v>
      </c>
      <c r="H23" s="116" t="n">
        <f aca="false">IFERROR(SRC_Incentivi!G20*SRC_Incentivi!G59,0)</f>
        <v>0</v>
      </c>
      <c r="I23" s="116" t="n">
        <f aca="false">IFERROR(SRC_Incentivi!H20*SRC_Incentivi!H59,0)</f>
        <v>0</v>
      </c>
      <c r="J23" s="116" t="n">
        <f aca="false">IFERROR(SRC_Incentivi!I20*SRC_Incentivi!I59,0)</f>
        <v>0</v>
      </c>
      <c r="K23" s="116" t="n">
        <f aca="false">IFERROR(SRC_Incentivi!J20*SRC_Incentivi!J59,0)</f>
        <v>0</v>
      </c>
      <c r="L23" s="116" t="n">
        <f aca="false">IFERROR(SRC_Incentivi!K20*SRC_Incentivi!K59,0)</f>
        <v>0</v>
      </c>
      <c r="M23" s="116" t="n">
        <f aca="false">IFERROR(SRC_Incentivi!L20*SRC_Incentivi!L59,0)</f>
        <v>0</v>
      </c>
      <c r="N23" s="116" t="n">
        <f aca="false">IFERROR(SRC_Incentivi!M20*SRC_Incentivi!M59,0)</f>
        <v>0</v>
      </c>
      <c r="O23" s="116" t="n">
        <f aca="false">IFERROR(SRC_Incentivi!N20*SRC_Incentivi!N59,0)</f>
        <v>0</v>
      </c>
      <c r="P23" s="116" t="n">
        <f aca="false">IFERROR(SRC_Incentivi!O20*SRC_Incentivi!O59,0)</f>
        <v>0</v>
      </c>
      <c r="Q23" s="116" t="n">
        <f aca="false">IFERROR(SRC_Incentivi!P20*SRC_Incentivi!P59,0)</f>
        <v>0</v>
      </c>
      <c r="R23" s="43" t="n">
        <f aca="false">SUM(F23:Q23)</f>
        <v>5264.18048</v>
      </c>
    </row>
    <row r="24" customFormat="false" ht="21.75" hidden="false" customHeight="true" outlineLevel="0" collapsed="false">
      <c r="B24" s="98" t="s">
        <v>628</v>
      </c>
      <c r="C24" s="98"/>
      <c r="D24" s="98"/>
      <c r="F24" s="29" t="n">
        <f aca="false">SUM(F8:F23)</f>
        <v>945542.44448</v>
      </c>
      <c r="G24" s="29" t="n">
        <f aca="false">SUM(G8:G23)</f>
        <v>940278.264</v>
      </c>
      <c r="H24" s="29" t="n">
        <f aca="false">SUM(H8:H23)</f>
        <v>940278.264</v>
      </c>
      <c r="I24" s="29" t="n">
        <f aca="false">SUM(I8:I23)</f>
        <v>0</v>
      </c>
      <c r="J24" s="29" t="n">
        <f aca="false">SUM(J8:J23)</f>
        <v>0</v>
      </c>
      <c r="K24" s="29" t="n">
        <f aca="false">SUM(K8:K23)</f>
        <v>0</v>
      </c>
      <c r="L24" s="29" t="n">
        <f aca="false">SUM(L8:L23)</f>
        <v>0</v>
      </c>
      <c r="M24" s="29" t="n">
        <f aca="false">SUM(M8:M23)</f>
        <v>0</v>
      </c>
      <c r="N24" s="29" t="n">
        <f aca="false">SUM(N8:N23)</f>
        <v>0</v>
      </c>
      <c r="O24" s="29" t="n">
        <f aca="false">SUM(O8:O23)</f>
        <v>0</v>
      </c>
      <c r="P24" s="29" t="n">
        <f aca="false">SUM(P8:P23)</f>
        <v>0</v>
      </c>
      <c r="Q24" s="29" t="n">
        <f aca="false">SUM(Q8:Q23)</f>
        <v>0</v>
      </c>
      <c r="R24" s="29" t="n">
        <f aca="false">SUM(R8:R23)</f>
        <v>2826098.97248</v>
      </c>
    </row>
    <row r="26" customFormat="false" ht="24" hidden="false" customHeight="true" outlineLevel="0" collapsed="false">
      <c r="B26" s="147" t="s">
        <v>629</v>
      </c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</row>
    <row r="27" customFormat="false" ht="27.75" hidden="false" customHeight="true" outlineLevel="0" collapsed="false">
      <c r="B27" s="159" t="s">
        <v>345</v>
      </c>
      <c r="C27" s="159" t="s">
        <v>558</v>
      </c>
      <c r="D27" s="160" t="s">
        <v>625</v>
      </c>
      <c r="E27" s="152" t="s">
        <v>626</v>
      </c>
      <c r="F27" s="159" t="s">
        <v>530</v>
      </c>
      <c r="G27" s="159" t="s">
        <v>531</v>
      </c>
      <c r="H27" s="159" t="s">
        <v>532</v>
      </c>
      <c r="I27" s="159" t="s">
        <v>533</v>
      </c>
      <c r="J27" s="159" t="s">
        <v>534</v>
      </c>
      <c r="K27" s="159" t="s">
        <v>535</v>
      </c>
      <c r="L27" s="159" t="s">
        <v>536</v>
      </c>
      <c r="M27" s="159" t="s">
        <v>537</v>
      </c>
      <c r="N27" s="159" t="s">
        <v>538</v>
      </c>
      <c r="O27" s="159" t="s">
        <v>539</v>
      </c>
      <c r="P27" s="159" t="s">
        <v>540</v>
      </c>
      <c r="Q27" s="159" t="s">
        <v>541</v>
      </c>
      <c r="R27" s="161" t="s">
        <v>627</v>
      </c>
    </row>
    <row r="28" customFormat="false" ht="16.5" hidden="false" customHeight="true" outlineLevel="0" collapsed="false">
      <c r="B28" s="38" t="n">
        <v>1</v>
      </c>
      <c r="C28" s="22" t="s">
        <v>571</v>
      </c>
      <c r="D28" s="162" t="s">
        <v>573</v>
      </c>
      <c r="E28" s="163" t="n">
        <f aca="false">IFERROR(AVERAGE(SRC_Incentivi!E44:P44),0)</f>
        <v>0.217</v>
      </c>
      <c r="F28" s="107" t="n">
        <f aca="false">IFERROR(SRC_Incentivi!E25*SRC_Incentivi!E44,0)</f>
        <v>50249.2144</v>
      </c>
      <c r="G28" s="107" t="n">
        <f aca="false">IFERROR(SRC_Incentivi!F25*SRC_Incentivi!F44,0)</f>
        <v>88825.48885</v>
      </c>
      <c r="H28" s="107" t="n">
        <f aca="false">IFERROR(SRC_Incentivi!G25*SRC_Incentivi!G44,0)</f>
        <v>0</v>
      </c>
      <c r="I28" s="107" t="n">
        <f aca="false">IFERROR(SRC_Incentivi!H25*SRC_Incentivi!H44,0)</f>
        <v>0</v>
      </c>
      <c r="J28" s="107" t="n">
        <f aca="false">IFERROR(SRC_Incentivi!I25*SRC_Incentivi!I44,0)</f>
        <v>0</v>
      </c>
      <c r="K28" s="107" t="n">
        <f aca="false">IFERROR(SRC_Incentivi!J25*SRC_Incentivi!J44,0)</f>
        <v>0</v>
      </c>
      <c r="L28" s="107" t="n">
        <f aca="false">IFERROR(SRC_Incentivi!K25*SRC_Incentivi!K44,0)</f>
        <v>0</v>
      </c>
      <c r="M28" s="107" t="n">
        <f aca="false">IFERROR(SRC_Incentivi!L25*SRC_Incentivi!L44,0)</f>
        <v>0</v>
      </c>
      <c r="N28" s="107" t="n">
        <f aca="false">IFERROR(SRC_Incentivi!M25*SRC_Incentivi!M44,0)</f>
        <v>0</v>
      </c>
      <c r="O28" s="107" t="n">
        <f aca="false">IFERROR(SRC_Incentivi!N25*SRC_Incentivi!N44,0)</f>
        <v>0</v>
      </c>
      <c r="P28" s="107" t="n">
        <f aca="false">IFERROR(SRC_Incentivi!O25*SRC_Incentivi!O44,0)</f>
        <v>0</v>
      </c>
      <c r="Q28" s="107" t="n">
        <f aca="false">IFERROR(SRC_Incentivi!P25*SRC_Incentivi!P44,0)</f>
        <v>0</v>
      </c>
      <c r="R28" s="40" t="n">
        <f aca="false">SUM(F28:Q28)</f>
        <v>139074.70325</v>
      </c>
    </row>
    <row r="29" customFormat="false" ht="16.5" hidden="false" customHeight="true" outlineLevel="0" collapsed="false">
      <c r="B29" s="38" t="n">
        <v>2</v>
      </c>
      <c r="C29" s="22" t="s">
        <v>575</v>
      </c>
      <c r="D29" s="162" t="s">
        <v>576</v>
      </c>
      <c r="E29" s="163" t="n">
        <f aca="false">IFERROR(AVERAGE(SRC_Incentivi!E45:P45),0)</f>
        <v>0</v>
      </c>
      <c r="F29" s="116" t="n">
        <f aca="false">IFERROR(SRC_Incentivi!E26*SRC_Incentivi!E45,0)</f>
        <v>0</v>
      </c>
      <c r="G29" s="116" t="n">
        <f aca="false">IFERROR(SRC_Incentivi!F26*SRC_Incentivi!F45,0)</f>
        <v>0</v>
      </c>
      <c r="H29" s="116" t="n">
        <f aca="false">IFERROR(SRC_Incentivi!G26*SRC_Incentivi!G45,0)</f>
        <v>0</v>
      </c>
      <c r="I29" s="116" t="n">
        <f aca="false">IFERROR(SRC_Incentivi!H26*SRC_Incentivi!H45,0)</f>
        <v>0</v>
      </c>
      <c r="J29" s="116" t="n">
        <f aca="false">IFERROR(SRC_Incentivi!I26*SRC_Incentivi!I45,0)</f>
        <v>0</v>
      </c>
      <c r="K29" s="116" t="n">
        <f aca="false">IFERROR(SRC_Incentivi!J26*SRC_Incentivi!J45,0)</f>
        <v>0</v>
      </c>
      <c r="L29" s="116" t="n">
        <f aca="false">IFERROR(SRC_Incentivi!K26*SRC_Incentivi!K45,0)</f>
        <v>0</v>
      </c>
      <c r="M29" s="116" t="n">
        <f aca="false">IFERROR(SRC_Incentivi!L26*SRC_Incentivi!L45,0)</f>
        <v>0</v>
      </c>
      <c r="N29" s="116" t="n">
        <f aca="false">IFERROR(SRC_Incentivi!M26*SRC_Incentivi!M45,0)</f>
        <v>0</v>
      </c>
      <c r="O29" s="116" t="n">
        <f aca="false">IFERROR(SRC_Incentivi!N26*SRC_Incentivi!N45,0)</f>
        <v>0</v>
      </c>
      <c r="P29" s="116" t="n">
        <f aca="false">IFERROR(SRC_Incentivi!O26*SRC_Incentivi!O45,0)</f>
        <v>0</v>
      </c>
      <c r="Q29" s="116" t="n">
        <f aca="false">IFERROR(SRC_Incentivi!P26*SRC_Incentivi!P45,0)</f>
        <v>0</v>
      </c>
      <c r="R29" s="43" t="n">
        <f aca="false">SUM(F29:Q29)</f>
        <v>0</v>
      </c>
    </row>
    <row r="30" customFormat="false" ht="16.5" hidden="false" customHeight="true" outlineLevel="0" collapsed="false">
      <c r="B30" s="38" t="n">
        <v>3</v>
      </c>
      <c r="C30" s="22" t="s">
        <v>578</v>
      </c>
      <c r="D30" s="162" t="s">
        <v>579</v>
      </c>
      <c r="E30" s="163" t="n">
        <f aca="false">IFERROR(AVERAGE(SRC_Incentivi!E46:P46),0)</f>
        <v>0</v>
      </c>
      <c r="F30" s="107" t="n">
        <f aca="false">IFERROR(SRC_Incentivi!E27*SRC_Incentivi!E46,0)</f>
        <v>0</v>
      </c>
      <c r="G30" s="107" t="n">
        <f aca="false">IFERROR(SRC_Incentivi!F27*SRC_Incentivi!F46,0)</f>
        <v>0</v>
      </c>
      <c r="H30" s="107" t="n">
        <f aca="false">IFERROR(SRC_Incentivi!G27*SRC_Incentivi!G46,0)</f>
        <v>0</v>
      </c>
      <c r="I30" s="107" t="n">
        <f aca="false">IFERROR(SRC_Incentivi!H27*SRC_Incentivi!H46,0)</f>
        <v>0</v>
      </c>
      <c r="J30" s="107" t="n">
        <f aca="false">IFERROR(SRC_Incentivi!I27*SRC_Incentivi!I46,0)</f>
        <v>0</v>
      </c>
      <c r="K30" s="107" t="n">
        <f aca="false">IFERROR(SRC_Incentivi!J27*SRC_Incentivi!J46,0)</f>
        <v>0</v>
      </c>
      <c r="L30" s="107" t="n">
        <f aca="false">IFERROR(SRC_Incentivi!K27*SRC_Incentivi!K46,0)</f>
        <v>0</v>
      </c>
      <c r="M30" s="107" t="n">
        <f aca="false">IFERROR(SRC_Incentivi!L27*SRC_Incentivi!L46,0)</f>
        <v>0</v>
      </c>
      <c r="N30" s="107" t="n">
        <f aca="false">IFERROR(SRC_Incentivi!M27*SRC_Incentivi!M46,0)</f>
        <v>0</v>
      </c>
      <c r="O30" s="107" t="n">
        <f aca="false">IFERROR(SRC_Incentivi!N27*SRC_Incentivi!N46,0)</f>
        <v>0</v>
      </c>
      <c r="P30" s="107" t="n">
        <f aca="false">IFERROR(SRC_Incentivi!O27*SRC_Incentivi!O46,0)</f>
        <v>0</v>
      </c>
      <c r="Q30" s="107" t="n">
        <f aca="false">IFERROR(SRC_Incentivi!P27*SRC_Incentivi!P46,0)</f>
        <v>0</v>
      </c>
      <c r="R30" s="40" t="n">
        <f aca="false">SUM(F30:Q30)</f>
        <v>0</v>
      </c>
    </row>
    <row r="31" customFormat="false" ht="16.5" hidden="false" customHeight="true" outlineLevel="0" collapsed="false">
      <c r="B31" s="38" t="n">
        <v>4</v>
      </c>
      <c r="C31" s="22" t="s">
        <v>581</v>
      </c>
      <c r="D31" s="162" t="s">
        <v>321</v>
      </c>
      <c r="E31" s="163" t="n">
        <f aca="false">IFERROR(AVERAGE(SRC_Incentivi!E47:P47),0)</f>
        <v>0.488</v>
      </c>
      <c r="F31" s="116" t="n">
        <f aca="false">IFERROR(SRC_Incentivi!E28*SRC_Incentivi!E47,0)</f>
        <v>14054.2536</v>
      </c>
      <c r="G31" s="116" t="n">
        <f aca="false">IFERROR(SRC_Incentivi!F28*SRC_Incentivi!F47,0)</f>
        <v>25307.0456</v>
      </c>
      <c r="H31" s="116" t="n">
        <f aca="false">IFERROR(SRC_Incentivi!G28*SRC_Incentivi!G47,0)</f>
        <v>0</v>
      </c>
      <c r="I31" s="116" t="n">
        <f aca="false">IFERROR(SRC_Incentivi!H28*SRC_Incentivi!H47,0)</f>
        <v>0</v>
      </c>
      <c r="J31" s="116" t="n">
        <f aca="false">IFERROR(SRC_Incentivi!I28*SRC_Incentivi!I47,0)</f>
        <v>0</v>
      </c>
      <c r="K31" s="116" t="n">
        <f aca="false">IFERROR(SRC_Incentivi!J28*SRC_Incentivi!J47,0)</f>
        <v>0</v>
      </c>
      <c r="L31" s="116" t="n">
        <f aca="false">IFERROR(SRC_Incentivi!K28*SRC_Incentivi!K47,0)</f>
        <v>0</v>
      </c>
      <c r="M31" s="116" t="n">
        <f aca="false">IFERROR(SRC_Incentivi!L28*SRC_Incentivi!L47,0)</f>
        <v>0</v>
      </c>
      <c r="N31" s="116" t="n">
        <f aca="false">IFERROR(SRC_Incentivi!M28*SRC_Incentivi!M47,0)</f>
        <v>0</v>
      </c>
      <c r="O31" s="116" t="n">
        <f aca="false">IFERROR(SRC_Incentivi!N28*SRC_Incentivi!N47,0)</f>
        <v>0</v>
      </c>
      <c r="P31" s="116" t="n">
        <f aca="false">IFERROR(SRC_Incentivi!O28*SRC_Incentivi!O47,0)</f>
        <v>0</v>
      </c>
      <c r="Q31" s="116" t="n">
        <f aca="false">IFERROR(SRC_Incentivi!P28*SRC_Incentivi!P47,0)</f>
        <v>0</v>
      </c>
      <c r="R31" s="43" t="n">
        <f aca="false">SUM(F31:Q31)</f>
        <v>39361.2992</v>
      </c>
    </row>
    <row r="32" customFormat="false" ht="16.5" hidden="false" customHeight="true" outlineLevel="0" collapsed="false">
      <c r="B32" s="38" t="n">
        <v>5</v>
      </c>
      <c r="C32" s="22" t="s">
        <v>584</v>
      </c>
      <c r="D32" s="162" t="s">
        <v>585</v>
      </c>
      <c r="E32" s="163" t="n">
        <f aca="false">IFERROR(AVERAGE(SRC_Incentivi!E48:P48),0)</f>
        <v>0</v>
      </c>
      <c r="F32" s="107" t="n">
        <f aca="false">IFERROR(SRC_Incentivi!E29*SRC_Incentivi!E48,0)</f>
        <v>0</v>
      </c>
      <c r="G32" s="107" t="n">
        <f aca="false">IFERROR(SRC_Incentivi!F29*SRC_Incentivi!F48,0)</f>
        <v>0</v>
      </c>
      <c r="H32" s="107" t="n">
        <f aca="false">IFERROR(SRC_Incentivi!G29*SRC_Incentivi!G48,0)</f>
        <v>0</v>
      </c>
      <c r="I32" s="107" t="n">
        <f aca="false">IFERROR(SRC_Incentivi!H29*SRC_Incentivi!H48,0)</f>
        <v>0</v>
      </c>
      <c r="J32" s="107" t="n">
        <f aca="false">IFERROR(SRC_Incentivi!I29*SRC_Incentivi!I48,0)</f>
        <v>0</v>
      </c>
      <c r="K32" s="107" t="n">
        <f aca="false">IFERROR(SRC_Incentivi!J29*SRC_Incentivi!J48,0)</f>
        <v>0</v>
      </c>
      <c r="L32" s="107" t="n">
        <f aca="false">IFERROR(SRC_Incentivi!K29*SRC_Incentivi!K48,0)</f>
        <v>0</v>
      </c>
      <c r="M32" s="107" t="n">
        <f aca="false">IFERROR(SRC_Incentivi!L29*SRC_Incentivi!L48,0)</f>
        <v>0</v>
      </c>
      <c r="N32" s="107" t="n">
        <f aca="false">IFERROR(SRC_Incentivi!M29*SRC_Incentivi!M48,0)</f>
        <v>0</v>
      </c>
      <c r="O32" s="107" t="n">
        <f aca="false">IFERROR(SRC_Incentivi!N29*SRC_Incentivi!N48,0)</f>
        <v>0</v>
      </c>
      <c r="P32" s="107" t="n">
        <f aca="false">IFERROR(SRC_Incentivi!O29*SRC_Incentivi!O48,0)</f>
        <v>0</v>
      </c>
      <c r="Q32" s="107" t="n">
        <f aca="false">IFERROR(SRC_Incentivi!P29*SRC_Incentivi!P48,0)</f>
        <v>0</v>
      </c>
      <c r="R32" s="40" t="n">
        <f aca="false">SUM(F32:Q32)</f>
        <v>0</v>
      </c>
    </row>
    <row r="33" customFormat="false" ht="16.5" hidden="false" customHeight="true" outlineLevel="0" collapsed="false">
      <c r="B33" s="38" t="n">
        <v>6</v>
      </c>
      <c r="C33" s="22" t="s">
        <v>587</v>
      </c>
      <c r="D33" s="162" t="s">
        <v>325</v>
      </c>
      <c r="E33" s="163" t="n">
        <f aca="false">IFERROR(AVERAGE(SRC_Incentivi!E49:P49),0)</f>
        <v>0.251</v>
      </c>
      <c r="F33" s="116" t="n">
        <f aca="false">IFERROR(SRC_Incentivi!E30*SRC_Incentivi!E49,0)</f>
        <v>28936.5099</v>
      </c>
      <c r="G33" s="116" t="n">
        <f aca="false">IFERROR(SRC_Incentivi!F30*SRC_Incentivi!F49,0)</f>
        <v>53601.0751</v>
      </c>
      <c r="H33" s="116" t="n">
        <f aca="false">IFERROR(SRC_Incentivi!G30*SRC_Incentivi!G49,0)</f>
        <v>0</v>
      </c>
      <c r="I33" s="116" t="n">
        <f aca="false">IFERROR(SRC_Incentivi!H30*SRC_Incentivi!H49,0)</f>
        <v>0</v>
      </c>
      <c r="J33" s="116" t="n">
        <f aca="false">IFERROR(SRC_Incentivi!I30*SRC_Incentivi!I49,0)</f>
        <v>0</v>
      </c>
      <c r="K33" s="116" t="n">
        <f aca="false">IFERROR(SRC_Incentivi!J30*SRC_Incentivi!J49,0)</f>
        <v>0</v>
      </c>
      <c r="L33" s="116" t="n">
        <f aca="false">IFERROR(SRC_Incentivi!K30*SRC_Incentivi!K49,0)</f>
        <v>0</v>
      </c>
      <c r="M33" s="116" t="n">
        <f aca="false">IFERROR(SRC_Incentivi!L30*SRC_Incentivi!L49,0)</f>
        <v>0</v>
      </c>
      <c r="N33" s="116" t="n">
        <f aca="false">IFERROR(SRC_Incentivi!M30*SRC_Incentivi!M49,0)</f>
        <v>0</v>
      </c>
      <c r="O33" s="116" t="n">
        <f aca="false">IFERROR(SRC_Incentivi!N30*SRC_Incentivi!N49,0)</f>
        <v>0</v>
      </c>
      <c r="P33" s="116" t="n">
        <f aca="false">IFERROR(SRC_Incentivi!O30*SRC_Incentivi!O49,0)</f>
        <v>0</v>
      </c>
      <c r="Q33" s="116" t="n">
        <f aca="false">IFERROR(SRC_Incentivi!P30*SRC_Incentivi!P49,0)</f>
        <v>0</v>
      </c>
      <c r="R33" s="43" t="n">
        <f aca="false">SUM(F33:Q33)</f>
        <v>82537.585</v>
      </c>
    </row>
    <row r="34" customFormat="false" ht="16.5" hidden="false" customHeight="true" outlineLevel="0" collapsed="false">
      <c r="B34" s="38" t="n">
        <v>7</v>
      </c>
      <c r="C34" s="22" t="s">
        <v>590</v>
      </c>
      <c r="D34" s="162" t="s">
        <v>591</v>
      </c>
      <c r="E34" s="163" t="n">
        <f aca="false">IFERROR(AVERAGE(SRC_Incentivi!E50:P50),0)</f>
        <v>0.207</v>
      </c>
      <c r="F34" s="107" t="n">
        <f aca="false">IFERROR(SRC_Incentivi!E31*SRC_Incentivi!E50,0)</f>
        <v>7728.345</v>
      </c>
      <c r="G34" s="107" t="n">
        <f aca="false">IFERROR(SRC_Incentivi!F31*SRC_Incentivi!F50,0)</f>
        <v>12396.93192</v>
      </c>
      <c r="H34" s="107" t="n">
        <f aca="false">IFERROR(SRC_Incentivi!G31*SRC_Incentivi!G50,0)</f>
        <v>0</v>
      </c>
      <c r="I34" s="107" t="n">
        <f aca="false">IFERROR(SRC_Incentivi!H31*SRC_Incentivi!H50,0)</f>
        <v>0</v>
      </c>
      <c r="J34" s="107" t="n">
        <f aca="false">IFERROR(SRC_Incentivi!I31*SRC_Incentivi!I50,0)</f>
        <v>0</v>
      </c>
      <c r="K34" s="107" t="n">
        <f aca="false">IFERROR(SRC_Incentivi!J31*SRC_Incentivi!J50,0)</f>
        <v>0</v>
      </c>
      <c r="L34" s="107" t="n">
        <f aca="false">IFERROR(SRC_Incentivi!K31*SRC_Incentivi!K50,0)</f>
        <v>0</v>
      </c>
      <c r="M34" s="107" t="n">
        <f aca="false">IFERROR(SRC_Incentivi!L31*SRC_Incentivi!L50,0)</f>
        <v>0</v>
      </c>
      <c r="N34" s="107" t="n">
        <f aca="false">IFERROR(SRC_Incentivi!M31*SRC_Incentivi!M50,0)</f>
        <v>0</v>
      </c>
      <c r="O34" s="107" t="n">
        <f aca="false">IFERROR(SRC_Incentivi!N31*SRC_Incentivi!N50,0)</f>
        <v>0</v>
      </c>
      <c r="P34" s="107" t="n">
        <f aca="false">IFERROR(SRC_Incentivi!O31*SRC_Incentivi!O50,0)</f>
        <v>0</v>
      </c>
      <c r="Q34" s="107" t="n">
        <f aca="false">IFERROR(SRC_Incentivi!P31*SRC_Incentivi!P50,0)</f>
        <v>0</v>
      </c>
      <c r="R34" s="40" t="n">
        <f aca="false">SUM(F34:Q34)</f>
        <v>20125.27692</v>
      </c>
    </row>
    <row r="35" customFormat="false" ht="16.5" hidden="false" customHeight="true" outlineLevel="0" collapsed="false">
      <c r="B35" s="38" t="n">
        <v>8</v>
      </c>
      <c r="C35" s="22" t="s">
        <v>593</v>
      </c>
      <c r="D35" s="162" t="s">
        <v>327</v>
      </c>
      <c r="E35" s="163" t="n">
        <f aca="false">IFERROR(AVERAGE(SRC_Incentivi!E51:P51),0)</f>
        <v>0.314</v>
      </c>
      <c r="F35" s="116" t="n">
        <f aca="false">IFERROR(SRC_Incentivi!E32*SRC_Incentivi!E51,0)</f>
        <v>24935.8233</v>
      </c>
      <c r="G35" s="116" t="n">
        <f aca="false">IFERROR(SRC_Incentivi!F32*SRC_Incentivi!F51,0)</f>
        <v>0</v>
      </c>
      <c r="H35" s="116" t="n">
        <f aca="false">IFERROR(SRC_Incentivi!G32*SRC_Incentivi!G51,0)</f>
        <v>0</v>
      </c>
      <c r="I35" s="116" t="n">
        <f aca="false">IFERROR(SRC_Incentivi!H32*SRC_Incentivi!H51,0)</f>
        <v>0</v>
      </c>
      <c r="J35" s="116" t="n">
        <f aca="false">IFERROR(SRC_Incentivi!I32*SRC_Incentivi!I51,0)</f>
        <v>0</v>
      </c>
      <c r="K35" s="116" t="n">
        <f aca="false">IFERROR(SRC_Incentivi!J32*SRC_Incentivi!J51,0)</f>
        <v>0</v>
      </c>
      <c r="L35" s="116" t="n">
        <f aca="false">IFERROR(SRC_Incentivi!K32*SRC_Incentivi!K51,0)</f>
        <v>0</v>
      </c>
      <c r="M35" s="116" t="n">
        <f aca="false">IFERROR(SRC_Incentivi!L32*SRC_Incentivi!L51,0)</f>
        <v>0</v>
      </c>
      <c r="N35" s="116" t="n">
        <f aca="false">IFERROR(SRC_Incentivi!M32*SRC_Incentivi!M51,0)</f>
        <v>0</v>
      </c>
      <c r="O35" s="116" t="n">
        <f aca="false">IFERROR(SRC_Incentivi!N32*SRC_Incentivi!N51,0)</f>
        <v>0</v>
      </c>
      <c r="P35" s="116" t="n">
        <f aca="false">IFERROR(SRC_Incentivi!O32*SRC_Incentivi!O51,0)</f>
        <v>0</v>
      </c>
      <c r="Q35" s="116" t="n">
        <f aca="false">IFERROR(SRC_Incentivi!P32*SRC_Incentivi!P51,0)</f>
        <v>0</v>
      </c>
      <c r="R35" s="43" t="n">
        <f aca="false">SUM(F35:Q35)</f>
        <v>24935.8233</v>
      </c>
    </row>
    <row r="36" customFormat="false" ht="16.5" hidden="false" customHeight="true" outlineLevel="0" collapsed="false">
      <c r="B36" s="38" t="n">
        <v>9</v>
      </c>
      <c r="C36" s="22" t="s">
        <v>595</v>
      </c>
      <c r="D36" s="162" t="s">
        <v>596</v>
      </c>
      <c r="E36" s="163" t="n">
        <f aca="false">IFERROR(AVERAGE(SRC_Incentivi!E52:P52),0)</f>
        <v>0.384</v>
      </c>
      <c r="F36" s="107" t="n">
        <f aca="false">IFERROR(SRC_Incentivi!E33*SRC_Incentivi!E52,0)</f>
        <v>2524.63104</v>
      </c>
      <c r="G36" s="107" t="n">
        <f aca="false">IFERROR(SRC_Incentivi!F33*SRC_Incentivi!F52,0)</f>
        <v>3880.66176</v>
      </c>
      <c r="H36" s="107" t="n">
        <f aca="false">IFERROR(SRC_Incentivi!G33*SRC_Incentivi!G52,0)</f>
        <v>0</v>
      </c>
      <c r="I36" s="107" t="n">
        <f aca="false">IFERROR(SRC_Incentivi!H33*SRC_Incentivi!H52,0)</f>
        <v>0</v>
      </c>
      <c r="J36" s="107" t="n">
        <f aca="false">IFERROR(SRC_Incentivi!I33*SRC_Incentivi!I52,0)</f>
        <v>0</v>
      </c>
      <c r="K36" s="107" t="n">
        <f aca="false">IFERROR(SRC_Incentivi!J33*SRC_Incentivi!J52,0)</f>
        <v>0</v>
      </c>
      <c r="L36" s="107" t="n">
        <f aca="false">IFERROR(SRC_Incentivi!K33*SRC_Incentivi!K52,0)</f>
        <v>0</v>
      </c>
      <c r="M36" s="107" t="n">
        <f aca="false">IFERROR(SRC_Incentivi!L33*SRC_Incentivi!L52,0)</f>
        <v>0</v>
      </c>
      <c r="N36" s="107" t="n">
        <f aca="false">IFERROR(SRC_Incentivi!M33*SRC_Incentivi!M52,0)</f>
        <v>0</v>
      </c>
      <c r="O36" s="107" t="n">
        <f aca="false">IFERROR(SRC_Incentivi!N33*SRC_Incentivi!N52,0)</f>
        <v>0</v>
      </c>
      <c r="P36" s="107" t="n">
        <f aca="false">IFERROR(SRC_Incentivi!O33*SRC_Incentivi!O52,0)</f>
        <v>0</v>
      </c>
      <c r="Q36" s="107" t="n">
        <f aca="false">IFERROR(SRC_Incentivi!P33*SRC_Incentivi!P52,0)</f>
        <v>0</v>
      </c>
      <c r="R36" s="40" t="n">
        <f aca="false">SUM(F36:Q36)</f>
        <v>6405.2928</v>
      </c>
    </row>
    <row r="37" customFormat="false" ht="16.5" hidden="false" customHeight="true" outlineLevel="0" collapsed="false">
      <c r="B37" s="38" t="n">
        <v>10</v>
      </c>
      <c r="C37" s="22" t="s">
        <v>598</v>
      </c>
      <c r="D37" s="162" t="s">
        <v>329</v>
      </c>
      <c r="E37" s="163" t="n">
        <f aca="false">IFERROR(AVERAGE(SRC_Incentivi!E53:P53),0)</f>
        <v>0.285</v>
      </c>
      <c r="F37" s="116" t="n">
        <f aca="false">IFERROR(SRC_Incentivi!E34*SRC_Incentivi!E53,0)</f>
        <v>58189.5045</v>
      </c>
      <c r="G37" s="116" t="n">
        <f aca="false">IFERROR(SRC_Incentivi!F34*SRC_Incentivi!F53,0)</f>
        <v>80688.8865</v>
      </c>
      <c r="H37" s="116" t="n">
        <f aca="false">IFERROR(SRC_Incentivi!G34*SRC_Incentivi!G53,0)</f>
        <v>0</v>
      </c>
      <c r="I37" s="116" t="n">
        <f aca="false">IFERROR(SRC_Incentivi!H34*SRC_Incentivi!H53,0)</f>
        <v>0</v>
      </c>
      <c r="J37" s="116" t="n">
        <f aca="false">IFERROR(SRC_Incentivi!I34*SRC_Incentivi!I53,0)</f>
        <v>0</v>
      </c>
      <c r="K37" s="116" t="n">
        <f aca="false">IFERROR(SRC_Incentivi!J34*SRC_Incentivi!J53,0)</f>
        <v>0</v>
      </c>
      <c r="L37" s="116" t="n">
        <f aca="false">IFERROR(SRC_Incentivi!K34*SRC_Incentivi!K53,0)</f>
        <v>0</v>
      </c>
      <c r="M37" s="116" t="n">
        <f aca="false">IFERROR(SRC_Incentivi!L34*SRC_Incentivi!L53,0)</f>
        <v>0</v>
      </c>
      <c r="N37" s="116" t="n">
        <f aca="false">IFERROR(SRC_Incentivi!M34*SRC_Incentivi!M53,0)</f>
        <v>0</v>
      </c>
      <c r="O37" s="116" t="n">
        <f aca="false">IFERROR(SRC_Incentivi!N34*SRC_Incentivi!N53,0)</f>
        <v>0</v>
      </c>
      <c r="P37" s="116" t="n">
        <f aca="false">IFERROR(SRC_Incentivi!O34*SRC_Incentivi!O53,0)</f>
        <v>0</v>
      </c>
      <c r="Q37" s="116" t="n">
        <f aca="false">IFERROR(SRC_Incentivi!P34*SRC_Incentivi!P53,0)</f>
        <v>0</v>
      </c>
      <c r="R37" s="43" t="n">
        <f aca="false">SUM(F37:Q37)</f>
        <v>138878.391</v>
      </c>
    </row>
    <row r="38" customFormat="false" ht="16.5" hidden="false" customHeight="true" outlineLevel="0" collapsed="false">
      <c r="B38" s="38" t="n">
        <v>11</v>
      </c>
      <c r="C38" s="22" t="s">
        <v>601</v>
      </c>
      <c r="D38" s="162" t="s">
        <v>603</v>
      </c>
      <c r="E38" s="163" t="n">
        <f aca="false">IFERROR(AVERAGE(SRC_Incentivi!E54:P54),0)</f>
        <v>0.491</v>
      </c>
      <c r="F38" s="107" t="n">
        <f aca="false">IFERROR(SRC_Incentivi!E35*SRC_Incentivi!E54,0)</f>
        <v>65630.55592</v>
      </c>
      <c r="G38" s="107" t="n">
        <f aca="false">IFERROR(SRC_Incentivi!F35*SRC_Incentivi!F54,0)</f>
        <v>80517.29785</v>
      </c>
      <c r="H38" s="107" t="n">
        <f aca="false">IFERROR(SRC_Incentivi!G35*SRC_Incentivi!G54,0)</f>
        <v>0</v>
      </c>
      <c r="I38" s="107" t="n">
        <f aca="false">IFERROR(SRC_Incentivi!H35*SRC_Incentivi!H54,0)</f>
        <v>0</v>
      </c>
      <c r="J38" s="107" t="n">
        <f aca="false">IFERROR(SRC_Incentivi!I35*SRC_Incentivi!I54,0)</f>
        <v>0</v>
      </c>
      <c r="K38" s="107" t="n">
        <f aca="false">IFERROR(SRC_Incentivi!J35*SRC_Incentivi!J54,0)</f>
        <v>0</v>
      </c>
      <c r="L38" s="107" t="n">
        <f aca="false">IFERROR(SRC_Incentivi!K35*SRC_Incentivi!K54,0)</f>
        <v>0</v>
      </c>
      <c r="M38" s="107" t="n">
        <f aca="false">IFERROR(SRC_Incentivi!L35*SRC_Incentivi!L54,0)</f>
        <v>0</v>
      </c>
      <c r="N38" s="107" t="n">
        <f aca="false">IFERROR(SRC_Incentivi!M35*SRC_Incentivi!M54,0)</f>
        <v>0</v>
      </c>
      <c r="O38" s="107" t="n">
        <f aca="false">IFERROR(SRC_Incentivi!N35*SRC_Incentivi!N54,0)</f>
        <v>0</v>
      </c>
      <c r="P38" s="107" t="n">
        <f aca="false">IFERROR(SRC_Incentivi!O35*SRC_Incentivi!O54,0)</f>
        <v>0</v>
      </c>
      <c r="Q38" s="107" t="n">
        <f aca="false">IFERROR(SRC_Incentivi!P35*SRC_Incentivi!P54,0)</f>
        <v>0</v>
      </c>
      <c r="R38" s="40" t="n">
        <f aca="false">SUM(F38:Q38)</f>
        <v>146147.85377</v>
      </c>
    </row>
    <row r="39" customFormat="false" ht="16.5" hidden="false" customHeight="true" outlineLevel="0" collapsed="false">
      <c r="B39" s="38" t="n">
        <v>12</v>
      </c>
      <c r="C39" s="22" t="s">
        <v>605</v>
      </c>
      <c r="D39" s="162" t="s">
        <v>606</v>
      </c>
      <c r="E39" s="163" t="n">
        <f aca="false">IFERROR(AVERAGE(SRC_Incentivi!E55:P55),0)</f>
        <v>0.49</v>
      </c>
      <c r="F39" s="116" t="n">
        <f aca="false">IFERROR(SRC_Incentivi!E36*SRC_Incentivi!E55,0)</f>
        <v>55244.3885</v>
      </c>
      <c r="G39" s="116" t="n">
        <f aca="false">IFERROR(SRC_Incentivi!F36*SRC_Incentivi!F55,0)</f>
        <v>70988.505</v>
      </c>
      <c r="H39" s="116" t="n">
        <f aca="false">IFERROR(SRC_Incentivi!G36*SRC_Incentivi!G55,0)</f>
        <v>0</v>
      </c>
      <c r="I39" s="116" t="n">
        <f aca="false">IFERROR(SRC_Incentivi!H36*SRC_Incentivi!H55,0)</f>
        <v>0</v>
      </c>
      <c r="J39" s="116" t="n">
        <f aca="false">IFERROR(SRC_Incentivi!I36*SRC_Incentivi!I55,0)</f>
        <v>0</v>
      </c>
      <c r="K39" s="116" t="n">
        <f aca="false">IFERROR(SRC_Incentivi!J36*SRC_Incentivi!J55,0)</f>
        <v>0</v>
      </c>
      <c r="L39" s="116" t="n">
        <f aca="false">IFERROR(SRC_Incentivi!K36*SRC_Incentivi!K55,0)</f>
        <v>0</v>
      </c>
      <c r="M39" s="116" t="n">
        <f aca="false">IFERROR(SRC_Incentivi!L36*SRC_Incentivi!L55,0)</f>
        <v>0</v>
      </c>
      <c r="N39" s="116" t="n">
        <f aca="false">IFERROR(SRC_Incentivi!M36*SRC_Incentivi!M55,0)</f>
        <v>0</v>
      </c>
      <c r="O39" s="116" t="n">
        <f aca="false">IFERROR(SRC_Incentivi!N36*SRC_Incentivi!N55,0)</f>
        <v>0</v>
      </c>
      <c r="P39" s="116" t="n">
        <f aca="false">IFERROR(SRC_Incentivi!O36*SRC_Incentivi!O55,0)</f>
        <v>0</v>
      </c>
      <c r="Q39" s="116" t="n">
        <f aca="false">IFERROR(SRC_Incentivi!P36*SRC_Incentivi!P55,0)</f>
        <v>0</v>
      </c>
      <c r="R39" s="43" t="n">
        <f aca="false">SUM(F39:Q39)</f>
        <v>126232.8935</v>
      </c>
    </row>
    <row r="40" customFormat="false" ht="16.5" hidden="false" customHeight="true" outlineLevel="0" collapsed="false">
      <c r="B40" s="38" t="n">
        <v>13</v>
      </c>
      <c r="C40" s="22" t="s">
        <v>608</v>
      </c>
      <c r="D40" s="162" t="s">
        <v>609</v>
      </c>
      <c r="E40" s="163" t="n">
        <f aca="false">IFERROR(AVERAGE(SRC_Incentivi!E56:P56),0)</f>
        <v>0.49</v>
      </c>
      <c r="F40" s="107" t="n">
        <f aca="false">IFERROR(SRC_Incentivi!E37*SRC_Incentivi!E56,0)</f>
        <v>52609.0215</v>
      </c>
      <c r="G40" s="107" t="n">
        <f aca="false">IFERROR(SRC_Incentivi!F37*SRC_Incentivi!F56,0)</f>
        <v>68355.196</v>
      </c>
      <c r="H40" s="107" t="n">
        <f aca="false">IFERROR(SRC_Incentivi!G37*SRC_Incentivi!G56,0)</f>
        <v>0</v>
      </c>
      <c r="I40" s="107" t="n">
        <f aca="false">IFERROR(SRC_Incentivi!H37*SRC_Incentivi!H56,0)</f>
        <v>0</v>
      </c>
      <c r="J40" s="107" t="n">
        <f aca="false">IFERROR(SRC_Incentivi!I37*SRC_Incentivi!I56,0)</f>
        <v>0</v>
      </c>
      <c r="K40" s="107" t="n">
        <f aca="false">IFERROR(SRC_Incentivi!J37*SRC_Incentivi!J56,0)</f>
        <v>0</v>
      </c>
      <c r="L40" s="107" t="n">
        <f aca="false">IFERROR(SRC_Incentivi!K37*SRC_Incentivi!K56,0)</f>
        <v>0</v>
      </c>
      <c r="M40" s="107" t="n">
        <f aca="false">IFERROR(SRC_Incentivi!L37*SRC_Incentivi!L56,0)</f>
        <v>0</v>
      </c>
      <c r="N40" s="107" t="n">
        <f aca="false">IFERROR(SRC_Incentivi!M37*SRC_Incentivi!M56,0)</f>
        <v>0</v>
      </c>
      <c r="O40" s="107" t="n">
        <f aca="false">IFERROR(SRC_Incentivi!N37*SRC_Incentivi!N56,0)</f>
        <v>0</v>
      </c>
      <c r="P40" s="107" t="n">
        <f aca="false">IFERROR(SRC_Incentivi!O37*SRC_Incentivi!O56,0)</f>
        <v>0</v>
      </c>
      <c r="Q40" s="107" t="n">
        <f aca="false">IFERROR(SRC_Incentivi!P37*SRC_Incentivi!P56,0)</f>
        <v>0</v>
      </c>
      <c r="R40" s="40" t="n">
        <f aca="false">SUM(F40:Q40)</f>
        <v>120964.2175</v>
      </c>
    </row>
    <row r="41" customFormat="false" ht="16.5" hidden="false" customHeight="true" outlineLevel="0" collapsed="false">
      <c r="B41" s="38" t="n">
        <v>14</v>
      </c>
      <c r="C41" s="22" t="s">
        <v>611</v>
      </c>
      <c r="D41" s="162" t="s">
        <v>331</v>
      </c>
      <c r="E41" s="163" t="n">
        <f aca="false">IFERROR(AVERAGE(SRC_Incentivi!E57:P57),0)</f>
        <v>0.322</v>
      </c>
      <c r="F41" s="116" t="n">
        <f aca="false">IFERROR(SRC_Incentivi!E38*SRC_Incentivi!E57,0)</f>
        <v>116538.401</v>
      </c>
      <c r="G41" s="116" t="n">
        <f aca="false">IFERROR(SRC_Incentivi!F38*SRC_Incentivi!F57,0)</f>
        <v>140362.0218</v>
      </c>
      <c r="H41" s="116" t="n">
        <f aca="false">IFERROR(SRC_Incentivi!G38*SRC_Incentivi!G57,0)</f>
        <v>0</v>
      </c>
      <c r="I41" s="116" t="n">
        <f aca="false">IFERROR(SRC_Incentivi!H38*SRC_Incentivi!H57,0)</f>
        <v>0</v>
      </c>
      <c r="J41" s="116" t="n">
        <f aca="false">IFERROR(SRC_Incentivi!I38*SRC_Incentivi!I57,0)</f>
        <v>0</v>
      </c>
      <c r="K41" s="116" t="n">
        <f aca="false">IFERROR(SRC_Incentivi!J38*SRC_Incentivi!J57,0)</f>
        <v>0</v>
      </c>
      <c r="L41" s="116" t="n">
        <f aca="false">IFERROR(SRC_Incentivi!K38*SRC_Incentivi!K57,0)</f>
        <v>0</v>
      </c>
      <c r="M41" s="116" t="n">
        <f aca="false">IFERROR(SRC_Incentivi!L38*SRC_Incentivi!L57,0)</f>
        <v>0</v>
      </c>
      <c r="N41" s="116" t="n">
        <f aca="false">IFERROR(SRC_Incentivi!M38*SRC_Incentivi!M57,0)</f>
        <v>0</v>
      </c>
      <c r="O41" s="116" t="n">
        <f aca="false">IFERROR(SRC_Incentivi!N38*SRC_Incentivi!N57,0)</f>
        <v>0</v>
      </c>
      <c r="P41" s="116" t="n">
        <f aca="false">IFERROR(SRC_Incentivi!O38*SRC_Incentivi!O57,0)</f>
        <v>0</v>
      </c>
      <c r="Q41" s="116" t="n">
        <f aca="false">IFERROR(SRC_Incentivi!P38*SRC_Incentivi!P57,0)</f>
        <v>0</v>
      </c>
      <c r="R41" s="43" t="n">
        <f aca="false">SUM(F41:Q41)</f>
        <v>256900.4228</v>
      </c>
    </row>
    <row r="42" customFormat="false" ht="16.5" hidden="false" customHeight="true" outlineLevel="0" collapsed="false">
      <c r="B42" s="38" t="n">
        <v>15</v>
      </c>
      <c r="C42" s="22" t="s">
        <v>614</v>
      </c>
      <c r="D42" s="162" t="s">
        <v>332</v>
      </c>
      <c r="E42" s="163" t="n">
        <f aca="false">IFERROR(AVERAGE(SRC_Incentivi!E58:P58),0)</f>
        <v>0</v>
      </c>
      <c r="F42" s="107" t="n">
        <f aca="false">IFERROR(SRC_Incentivi!E39*SRC_Incentivi!E58,0)</f>
        <v>0</v>
      </c>
      <c r="G42" s="107" t="n">
        <f aca="false">IFERROR(SRC_Incentivi!F39*SRC_Incentivi!F58,0)</f>
        <v>0</v>
      </c>
      <c r="H42" s="107" t="n">
        <f aca="false">IFERROR(SRC_Incentivi!G39*SRC_Incentivi!G58,0)</f>
        <v>0</v>
      </c>
      <c r="I42" s="107" t="n">
        <f aca="false">IFERROR(SRC_Incentivi!H39*SRC_Incentivi!H58,0)</f>
        <v>0</v>
      </c>
      <c r="J42" s="107" t="n">
        <f aca="false">IFERROR(SRC_Incentivi!I39*SRC_Incentivi!I58,0)</f>
        <v>0</v>
      </c>
      <c r="K42" s="107" t="n">
        <f aca="false">IFERROR(SRC_Incentivi!J39*SRC_Incentivi!J58,0)</f>
        <v>0</v>
      </c>
      <c r="L42" s="107" t="n">
        <f aca="false">IFERROR(SRC_Incentivi!K39*SRC_Incentivi!K58,0)</f>
        <v>0</v>
      </c>
      <c r="M42" s="107" t="n">
        <f aca="false">IFERROR(SRC_Incentivi!L39*SRC_Incentivi!L58,0)</f>
        <v>0</v>
      </c>
      <c r="N42" s="107" t="n">
        <f aca="false">IFERROR(SRC_Incentivi!M39*SRC_Incentivi!M58,0)</f>
        <v>0</v>
      </c>
      <c r="O42" s="107" t="n">
        <f aca="false">IFERROR(SRC_Incentivi!N39*SRC_Incentivi!N58,0)</f>
        <v>0</v>
      </c>
      <c r="P42" s="107" t="n">
        <f aca="false">IFERROR(SRC_Incentivi!O39*SRC_Incentivi!O58,0)</f>
        <v>0</v>
      </c>
      <c r="Q42" s="107" t="n">
        <f aca="false">IFERROR(SRC_Incentivi!P39*SRC_Incentivi!P58,0)</f>
        <v>0</v>
      </c>
      <c r="R42" s="40" t="n">
        <f aca="false">SUM(F42:Q42)</f>
        <v>0</v>
      </c>
    </row>
    <row r="43" customFormat="false" ht="16.5" hidden="false" customHeight="true" outlineLevel="0" collapsed="false">
      <c r="B43" s="38" t="n">
        <v>16</v>
      </c>
      <c r="C43" s="22" t="s">
        <v>616</v>
      </c>
      <c r="D43" s="162" t="s">
        <v>618</v>
      </c>
      <c r="E43" s="163" t="n">
        <f aca="false">IFERROR(AVERAGE(SRC_Incentivi!E59:P59),0)</f>
        <v>0.13462</v>
      </c>
      <c r="F43" s="116" t="n">
        <f aca="false">IFERROR(SRC_Incentivi!E40*SRC_Incentivi!E59,0)</f>
        <v>9292.1037678</v>
      </c>
      <c r="G43" s="116" t="n">
        <f aca="false">IFERROR(SRC_Incentivi!F40*SRC_Incentivi!F59,0)</f>
        <v>12341.8094794</v>
      </c>
      <c r="H43" s="116" t="n">
        <f aca="false">IFERROR(SRC_Incentivi!G40*SRC_Incentivi!G59,0)</f>
        <v>0</v>
      </c>
      <c r="I43" s="116" t="n">
        <f aca="false">IFERROR(SRC_Incentivi!H40*SRC_Incentivi!H59,0)</f>
        <v>0</v>
      </c>
      <c r="J43" s="116" t="n">
        <f aca="false">IFERROR(SRC_Incentivi!I40*SRC_Incentivi!I59,0)</f>
        <v>0</v>
      </c>
      <c r="K43" s="116" t="n">
        <f aca="false">IFERROR(SRC_Incentivi!J40*SRC_Incentivi!J59,0)</f>
        <v>0</v>
      </c>
      <c r="L43" s="116" t="n">
        <f aca="false">IFERROR(SRC_Incentivi!K40*SRC_Incentivi!K59,0)</f>
        <v>0</v>
      </c>
      <c r="M43" s="116" t="n">
        <f aca="false">IFERROR(SRC_Incentivi!L40*SRC_Incentivi!L59,0)</f>
        <v>0</v>
      </c>
      <c r="N43" s="116" t="n">
        <f aca="false">IFERROR(SRC_Incentivi!M40*SRC_Incentivi!M59,0)</f>
        <v>0</v>
      </c>
      <c r="O43" s="116" t="n">
        <f aca="false">IFERROR(SRC_Incentivi!N40*SRC_Incentivi!N59,0)</f>
        <v>0</v>
      </c>
      <c r="P43" s="116" t="n">
        <f aca="false">IFERROR(SRC_Incentivi!O40*SRC_Incentivi!O59,0)</f>
        <v>0</v>
      </c>
      <c r="Q43" s="116" t="n">
        <f aca="false">IFERROR(SRC_Incentivi!P40*SRC_Incentivi!P59,0)</f>
        <v>0</v>
      </c>
      <c r="R43" s="43" t="n">
        <f aca="false">SUM(F43:Q43)</f>
        <v>21633.9132472</v>
      </c>
    </row>
    <row r="44" customFormat="false" ht="21.75" hidden="false" customHeight="true" outlineLevel="0" collapsed="false">
      <c r="B44" s="98" t="s">
        <v>630</v>
      </c>
      <c r="C44" s="98"/>
      <c r="D44" s="98"/>
      <c r="F44" s="29" t="n">
        <f aca="false">SUM(F28:F43)</f>
        <v>485932.7524278</v>
      </c>
      <c r="G44" s="29" t="n">
        <f aca="false">SUM(G28:G43)</f>
        <v>637264.9198594</v>
      </c>
      <c r="H44" s="29" t="n">
        <f aca="false">SUM(H28:H43)</f>
        <v>0</v>
      </c>
      <c r="I44" s="29" t="n">
        <f aca="false">SUM(I28:I43)</f>
        <v>0</v>
      </c>
      <c r="J44" s="29" t="n">
        <f aca="false">SUM(J28:J43)</f>
        <v>0</v>
      </c>
      <c r="K44" s="29" t="n">
        <f aca="false">SUM(K28:K43)</f>
        <v>0</v>
      </c>
      <c r="L44" s="29" t="n">
        <f aca="false">SUM(L28:L43)</f>
        <v>0</v>
      </c>
      <c r="M44" s="29" t="n">
        <f aca="false">SUM(M28:M43)</f>
        <v>0</v>
      </c>
      <c r="N44" s="29" t="n">
        <f aca="false">SUM(N28:N43)</f>
        <v>0</v>
      </c>
      <c r="O44" s="29" t="n">
        <f aca="false">SUM(O28:O43)</f>
        <v>0</v>
      </c>
      <c r="P44" s="29" t="n">
        <f aca="false">SUM(P28:P43)</f>
        <v>0</v>
      </c>
      <c r="Q44" s="29" t="n">
        <f aca="false">SUM(Q28:Q43)</f>
        <v>0</v>
      </c>
      <c r="R44" s="29" t="n">
        <f aca="false">SUM(R28:R43)</f>
        <v>1123197.6722872</v>
      </c>
    </row>
    <row r="46" customFormat="false" ht="24" hidden="false" customHeight="true" outlineLevel="0" collapsed="false">
      <c r="B46" s="164" t="s">
        <v>631</v>
      </c>
      <c r="C46" s="164"/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</row>
    <row r="47" customFormat="false" ht="27.75" hidden="false" customHeight="true" outlineLevel="0" collapsed="false">
      <c r="B47" s="165" t="s">
        <v>345</v>
      </c>
      <c r="C47" s="165" t="s">
        <v>558</v>
      </c>
      <c r="D47" s="166" t="s">
        <v>310</v>
      </c>
      <c r="F47" s="165" t="s">
        <v>530</v>
      </c>
      <c r="G47" s="165" t="s">
        <v>531</v>
      </c>
      <c r="H47" s="165" t="s">
        <v>532</v>
      </c>
      <c r="I47" s="165" t="s">
        <v>533</v>
      </c>
      <c r="J47" s="165" t="s">
        <v>534</v>
      </c>
      <c r="K47" s="165" t="s">
        <v>535</v>
      </c>
      <c r="L47" s="165" t="s">
        <v>536</v>
      </c>
      <c r="M47" s="165" t="s">
        <v>537</v>
      </c>
      <c r="N47" s="165" t="s">
        <v>538</v>
      </c>
      <c r="O47" s="165" t="s">
        <v>539</v>
      </c>
      <c r="P47" s="165" t="s">
        <v>540</v>
      </c>
      <c r="Q47" s="165" t="s">
        <v>541</v>
      </c>
      <c r="R47" s="165" t="s">
        <v>632</v>
      </c>
    </row>
    <row r="48" customFormat="false" ht="16.5" hidden="false" customHeight="true" outlineLevel="0" collapsed="false">
      <c r="B48" s="38" t="n">
        <v>1</v>
      </c>
      <c r="C48" s="22" t="s">
        <v>571</v>
      </c>
      <c r="D48" s="162" t="s">
        <v>573</v>
      </c>
      <c r="F48" s="167" t="n">
        <f aca="false">F28-F8</f>
        <v>-59364.8636</v>
      </c>
      <c r="G48" s="167" t="n">
        <f aca="false">G28-G8</f>
        <v>-20788.58915</v>
      </c>
      <c r="H48" s="167" t="n">
        <f aca="false">H28-H8</f>
        <v>-109614.078</v>
      </c>
      <c r="I48" s="167" t="n">
        <f aca="false">I28-I8</f>
        <v>0</v>
      </c>
      <c r="J48" s="167" t="n">
        <f aca="false">J28-J8</f>
        <v>0</v>
      </c>
      <c r="K48" s="167" t="n">
        <f aca="false">K28-K8</f>
        <v>0</v>
      </c>
      <c r="L48" s="167" t="n">
        <f aca="false">L28-L8</f>
        <v>0</v>
      </c>
      <c r="M48" s="167" t="n">
        <f aca="false">M28-M8</f>
        <v>0</v>
      </c>
      <c r="N48" s="167" t="n">
        <f aca="false">N28-N8</f>
        <v>0</v>
      </c>
      <c r="O48" s="167" t="n">
        <f aca="false">O28-O8</f>
        <v>0</v>
      </c>
      <c r="P48" s="167" t="n">
        <f aca="false">P28-P8</f>
        <v>0</v>
      </c>
      <c r="Q48" s="167" t="n">
        <f aca="false">Q28-Q8</f>
        <v>0</v>
      </c>
      <c r="R48" s="168" t="n">
        <f aca="false">SUM(F48:Q48)</f>
        <v>-189767.53075</v>
      </c>
    </row>
    <row r="49" customFormat="false" ht="16.5" hidden="false" customHeight="true" outlineLevel="0" collapsed="false">
      <c r="B49" s="38" t="n">
        <v>2</v>
      </c>
      <c r="C49" s="22" t="s">
        <v>575</v>
      </c>
      <c r="D49" s="162" t="s">
        <v>576</v>
      </c>
      <c r="F49" s="114" t="n">
        <f aca="false">F29-F9</f>
        <v>0</v>
      </c>
      <c r="G49" s="114" t="n">
        <f aca="false">G29-G9</f>
        <v>0</v>
      </c>
      <c r="H49" s="114" t="n">
        <f aca="false">H29-H9</f>
        <v>0</v>
      </c>
      <c r="I49" s="114" t="n">
        <f aca="false">I29-I9</f>
        <v>0</v>
      </c>
      <c r="J49" s="114" t="n">
        <f aca="false">J29-J9</f>
        <v>0</v>
      </c>
      <c r="K49" s="114" t="n">
        <f aca="false">K29-K9</f>
        <v>0</v>
      </c>
      <c r="L49" s="114" t="n">
        <f aca="false">L29-L9</f>
        <v>0</v>
      </c>
      <c r="M49" s="114" t="n">
        <f aca="false">M29-M9</f>
        <v>0</v>
      </c>
      <c r="N49" s="114" t="n">
        <f aca="false">N29-N9</f>
        <v>0</v>
      </c>
      <c r="O49" s="114" t="n">
        <f aca="false">O29-O9</f>
        <v>0</v>
      </c>
      <c r="P49" s="114" t="n">
        <f aca="false">P29-P9</f>
        <v>0</v>
      </c>
      <c r="Q49" s="114" t="n">
        <f aca="false">Q29-Q9</f>
        <v>0</v>
      </c>
      <c r="R49" s="169" t="n">
        <f aca="false">SUM(F49:Q49)</f>
        <v>0</v>
      </c>
    </row>
    <row r="50" customFormat="false" ht="16.5" hidden="false" customHeight="true" outlineLevel="0" collapsed="false">
      <c r="B50" s="38" t="n">
        <v>3</v>
      </c>
      <c r="C50" s="22" t="s">
        <v>578</v>
      </c>
      <c r="D50" s="162" t="s">
        <v>579</v>
      </c>
      <c r="F50" s="167" t="n">
        <f aca="false">F30-F10</f>
        <v>0</v>
      </c>
      <c r="G50" s="167" t="n">
        <f aca="false">G30-G10</f>
        <v>0</v>
      </c>
      <c r="H50" s="167" t="n">
        <f aca="false">H30-H10</f>
        <v>0</v>
      </c>
      <c r="I50" s="167" t="n">
        <f aca="false">I30-I10</f>
        <v>0</v>
      </c>
      <c r="J50" s="167" t="n">
        <f aca="false">J30-J10</f>
        <v>0</v>
      </c>
      <c r="K50" s="167" t="n">
        <f aca="false">K30-K10</f>
        <v>0</v>
      </c>
      <c r="L50" s="167" t="n">
        <f aca="false">L30-L10</f>
        <v>0</v>
      </c>
      <c r="M50" s="167" t="n">
        <f aca="false">M30-M10</f>
        <v>0</v>
      </c>
      <c r="N50" s="167" t="n">
        <f aca="false">N30-N10</f>
        <v>0</v>
      </c>
      <c r="O50" s="167" t="n">
        <f aca="false">O30-O10</f>
        <v>0</v>
      </c>
      <c r="P50" s="167" t="n">
        <f aca="false">P30-P10</f>
        <v>0</v>
      </c>
      <c r="Q50" s="167" t="n">
        <f aca="false">Q30-Q10</f>
        <v>0</v>
      </c>
      <c r="R50" s="168" t="n">
        <f aca="false">SUM(F50:Q50)</f>
        <v>0</v>
      </c>
    </row>
    <row r="51" customFormat="false" ht="16.5" hidden="false" customHeight="true" outlineLevel="0" collapsed="false">
      <c r="B51" s="38" t="n">
        <v>4</v>
      </c>
      <c r="C51" s="22" t="s">
        <v>581</v>
      </c>
      <c r="D51" s="162" t="s">
        <v>321</v>
      </c>
      <c r="F51" s="114" t="n">
        <f aca="false">F31-F11</f>
        <v>-19230.7624</v>
      </c>
      <c r="G51" s="114" t="n">
        <f aca="false">G31-G11</f>
        <v>-7977.9704</v>
      </c>
      <c r="H51" s="114" t="n">
        <f aca="false">H31-H11</f>
        <v>-33285.016</v>
      </c>
      <c r="I51" s="114" t="n">
        <f aca="false">I31-I11</f>
        <v>0</v>
      </c>
      <c r="J51" s="114" t="n">
        <f aca="false">J31-J11</f>
        <v>0</v>
      </c>
      <c r="K51" s="114" t="n">
        <f aca="false">K31-K11</f>
        <v>0</v>
      </c>
      <c r="L51" s="114" t="n">
        <f aca="false">L31-L11</f>
        <v>0</v>
      </c>
      <c r="M51" s="114" t="n">
        <f aca="false">M31-M11</f>
        <v>0</v>
      </c>
      <c r="N51" s="114" t="n">
        <f aca="false">N31-N11</f>
        <v>0</v>
      </c>
      <c r="O51" s="114" t="n">
        <f aca="false">O31-O11</f>
        <v>0</v>
      </c>
      <c r="P51" s="114" t="n">
        <f aca="false">P31-P11</f>
        <v>0</v>
      </c>
      <c r="Q51" s="114" t="n">
        <f aca="false">Q31-Q11</f>
        <v>0</v>
      </c>
      <c r="R51" s="169" t="n">
        <f aca="false">SUM(F51:Q51)</f>
        <v>-60493.7488</v>
      </c>
    </row>
    <row r="52" customFormat="false" ht="16.5" hidden="false" customHeight="true" outlineLevel="0" collapsed="false">
      <c r="B52" s="38" t="n">
        <v>5</v>
      </c>
      <c r="C52" s="22" t="s">
        <v>584</v>
      </c>
      <c r="D52" s="162" t="s">
        <v>585</v>
      </c>
      <c r="F52" s="167" t="n">
        <f aca="false">F32-F12</f>
        <v>0</v>
      </c>
      <c r="G52" s="167" t="n">
        <f aca="false">G32-G12</f>
        <v>0</v>
      </c>
      <c r="H52" s="167" t="n">
        <f aca="false">H32-H12</f>
        <v>0</v>
      </c>
      <c r="I52" s="167" t="n">
        <f aca="false">I32-I12</f>
        <v>0</v>
      </c>
      <c r="J52" s="167" t="n">
        <f aca="false">J32-J12</f>
        <v>0</v>
      </c>
      <c r="K52" s="167" t="n">
        <f aca="false">K32-K12</f>
        <v>0</v>
      </c>
      <c r="L52" s="167" t="n">
        <f aca="false">L32-L12</f>
        <v>0</v>
      </c>
      <c r="M52" s="167" t="n">
        <f aca="false">M32-M12</f>
        <v>0</v>
      </c>
      <c r="N52" s="167" t="n">
        <f aca="false">N32-N12</f>
        <v>0</v>
      </c>
      <c r="O52" s="167" t="n">
        <f aca="false">O32-O12</f>
        <v>0</v>
      </c>
      <c r="P52" s="167" t="n">
        <f aca="false">P32-P12</f>
        <v>0</v>
      </c>
      <c r="Q52" s="167" t="n">
        <f aca="false">Q32-Q12</f>
        <v>0</v>
      </c>
      <c r="R52" s="168" t="n">
        <f aca="false">SUM(F52:Q52)</f>
        <v>0</v>
      </c>
    </row>
    <row r="53" customFormat="false" ht="16.5" hidden="false" customHeight="true" outlineLevel="0" collapsed="false">
      <c r="B53" s="38" t="n">
        <v>6</v>
      </c>
      <c r="C53" s="22" t="s">
        <v>587</v>
      </c>
      <c r="D53" s="162" t="s">
        <v>325</v>
      </c>
      <c r="F53" s="114" t="n">
        <f aca="false">F33-F13</f>
        <v>-52264.5001</v>
      </c>
      <c r="G53" s="114" t="n">
        <f aca="false">G33-G13</f>
        <v>-27599.9349</v>
      </c>
      <c r="H53" s="114" t="n">
        <f aca="false">H33-H13</f>
        <v>-81201.01</v>
      </c>
      <c r="I53" s="114" t="n">
        <f aca="false">I33-I13</f>
        <v>0</v>
      </c>
      <c r="J53" s="114" t="n">
        <f aca="false">J33-J13</f>
        <v>0</v>
      </c>
      <c r="K53" s="114" t="n">
        <f aca="false">K33-K13</f>
        <v>0</v>
      </c>
      <c r="L53" s="114" t="n">
        <f aca="false">L33-L13</f>
        <v>0</v>
      </c>
      <c r="M53" s="114" t="n">
        <f aca="false">M33-M13</f>
        <v>0</v>
      </c>
      <c r="N53" s="114" t="n">
        <f aca="false">N33-N13</f>
        <v>0</v>
      </c>
      <c r="O53" s="114" t="n">
        <f aca="false">O33-O13</f>
        <v>0</v>
      </c>
      <c r="P53" s="114" t="n">
        <f aca="false">P33-P13</f>
        <v>0</v>
      </c>
      <c r="Q53" s="114" t="n">
        <f aca="false">Q33-Q13</f>
        <v>0</v>
      </c>
      <c r="R53" s="169" t="n">
        <f aca="false">SUM(F53:Q53)</f>
        <v>-161065.445</v>
      </c>
    </row>
    <row r="54" customFormat="false" ht="16.5" hidden="false" customHeight="true" outlineLevel="0" collapsed="false">
      <c r="B54" s="38" t="n">
        <v>7</v>
      </c>
      <c r="C54" s="22" t="s">
        <v>590</v>
      </c>
      <c r="D54" s="162" t="s">
        <v>591</v>
      </c>
      <c r="F54" s="167" t="n">
        <f aca="false">F34-F14</f>
        <v>2192.751</v>
      </c>
      <c r="G54" s="167" t="n">
        <f aca="false">G34-G14</f>
        <v>6861.33792</v>
      </c>
      <c r="H54" s="167" t="n">
        <f aca="false">H34-H14</f>
        <v>-5535.594</v>
      </c>
      <c r="I54" s="167" t="n">
        <f aca="false">I34-I14</f>
        <v>0</v>
      </c>
      <c r="J54" s="167" t="n">
        <f aca="false">J34-J14</f>
        <v>0</v>
      </c>
      <c r="K54" s="167" t="n">
        <f aca="false">K34-K14</f>
        <v>0</v>
      </c>
      <c r="L54" s="167" t="n">
        <f aca="false">L34-L14</f>
        <v>0</v>
      </c>
      <c r="M54" s="167" t="n">
        <f aca="false">M34-M14</f>
        <v>0</v>
      </c>
      <c r="N54" s="167" t="n">
        <f aca="false">N34-N14</f>
        <v>0</v>
      </c>
      <c r="O54" s="167" t="n">
        <f aca="false">O34-O14</f>
        <v>0</v>
      </c>
      <c r="P54" s="167" t="n">
        <f aca="false">P34-P14</f>
        <v>0</v>
      </c>
      <c r="Q54" s="167" t="n">
        <f aca="false">Q34-Q14</f>
        <v>0</v>
      </c>
      <c r="R54" s="168" t="n">
        <f aca="false">SUM(F54:Q54)</f>
        <v>3518.49492</v>
      </c>
    </row>
    <row r="55" customFormat="false" ht="16.5" hidden="false" customHeight="true" outlineLevel="0" collapsed="false">
      <c r="B55" s="38" t="n">
        <v>8</v>
      </c>
      <c r="C55" s="22" t="s">
        <v>593</v>
      </c>
      <c r="D55" s="162" t="s">
        <v>327</v>
      </c>
      <c r="F55" s="114" t="n">
        <f aca="false">F35-F15</f>
        <v>-31299.0647</v>
      </c>
      <c r="G55" s="114" t="n">
        <f aca="false">G35-G15</f>
        <v>-56234.888</v>
      </c>
      <c r="H55" s="114" t="n">
        <f aca="false">H35-H15</f>
        <v>-56234.888</v>
      </c>
      <c r="I55" s="114" t="n">
        <f aca="false">I35-I15</f>
        <v>0</v>
      </c>
      <c r="J55" s="114" t="n">
        <f aca="false">J35-J15</f>
        <v>0</v>
      </c>
      <c r="K55" s="114" t="n">
        <f aca="false">K35-K15</f>
        <v>0</v>
      </c>
      <c r="L55" s="114" t="n">
        <f aca="false">L35-L15</f>
        <v>0</v>
      </c>
      <c r="M55" s="114" t="n">
        <f aca="false">M35-M15</f>
        <v>0</v>
      </c>
      <c r="N55" s="114" t="n">
        <f aca="false">N35-N15</f>
        <v>0</v>
      </c>
      <c r="O55" s="114" t="n">
        <f aca="false">O35-O15</f>
        <v>0</v>
      </c>
      <c r="P55" s="114" t="n">
        <f aca="false">P35-P15</f>
        <v>0</v>
      </c>
      <c r="Q55" s="114" t="n">
        <f aca="false">Q35-Q15</f>
        <v>0</v>
      </c>
      <c r="R55" s="169" t="n">
        <f aca="false">SUM(F55:Q55)</f>
        <v>-143768.8407</v>
      </c>
    </row>
    <row r="56" customFormat="false" ht="16.5" hidden="false" customHeight="true" outlineLevel="0" collapsed="false">
      <c r="B56" s="38" t="n">
        <v>9</v>
      </c>
      <c r="C56" s="22" t="s">
        <v>595</v>
      </c>
      <c r="D56" s="162" t="s">
        <v>596</v>
      </c>
      <c r="F56" s="167" t="n">
        <f aca="false">F36-F16</f>
        <v>-2409.76896</v>
      </c>
      <c r="G56" s="167" t="n">
        <f aca="false">G36-G16</f>
        <v>-1053.73824</v>
      </c>
      <c r="H56" s="167" t="n">
        <f aca="false">H36-H16</f>
        <v>-4934.4</v>
      </c>
      <c r="I56" s="167" t="n">
        <f aca="false">I36-I16</f>
        <v>0</v>
      </c>
      <c r="J56" s="167" t="n">
        <f aca="false">J36-J16</f>
        <v>0</v>
      </c>
      <c r="K56" s="167" t="n">
        <f aca="false">K36-K16</f>
        <v>0</v>
      </c>
      <c r="L56" s="167" t="n">
        <f aca="false">L36-L16</f>
        <v>0</v>
      </c>
      <c r="M56" s="167" t="n">
        <f aca="false">M36-M16</f>
        <v>0</v>
      </c>
      <c r="N56" s="167" t="n">
        <f aca="false">N36-N16</f>
        <v>0</v>
      </c>
      <c r="O56" s="167" t="n">
        <f aca="false">O36-O16</f>
        <v>0</v>
      </c>
      <c r="P56" s="167" t="n">
        <f aca="false">P36-P16</f>
        <v>0</v>
      </c>
      <c r="Q56" s="167" t="n">
        <f aca="false">Q36-Q16</f>
        <v>0</v>
      </c>
      <c r="R56" s="168" t="n">
        <f aca="false">SUM(F56:Q56)</f>
        <v>-8397.9072</v>
      </c>
    </row>
    <row r="57" customFormat="false" ht="16.5" hidden="false" customHeight="true" outlineLevel="0" collapsed="false">
      <c r="B57" s="38" t="n">
        <v>10</v>
      </c>
      <c r="C57" s="22" t="s">
        <v>598</v>
      </c>
      <c r="D57" s="162" t="s">
        <v>329</v>
      </c>
      <c r="F57" s="114" t="n">
        <f aca="false">F37-F17</f>
        <v>-56418.6855</v>
      </c>
      <c r="G57" s="114" t="n">
        <f aca="false">G37-G17</f>
        <v>-33919.3035</v>
      </c>
      <c r="H57" s="114" t="n">
        <f aca="false">H37-H17</f>
        <v>-114608.19</v>
      </c>
      <c r="I57" s="114" t="n">
        <f aca="false">I37-I17</f>
        <v>0</v>
      </c>
      <c r="J57" s="114" t="n">
        <f aca="false">J37-J17</f>
        <v>0</v>
      </c>
      <c r="K57" s="114" t="n">
        <f aca="false">K37-K17</f>
        <v>0</v>
      </c>
      <c r="L57" s="114" t="n">
        <f aca="false">L37-L17</f>
        <v>0</v>
      </c>
      <c r="M57" s="114" t="n">
        <f aca="false">M37-M17</f>
        <v>0</v>
      </c>
      <c r="N57" s="114" t="n">
        <f aca="false">N37-N17</f>
        <v>0</v>
      </c>
      <c r="O57" s="114" t="n">
        <f aca="false">O37-O17</f>
        <v>0</v>
      </c>
      <c r="P57" s="114" t="n">
        <f aca="false">P37-P17</f>
        <v>0</v>
      </c>
      <c r="Q57" s="114" t="n">
        <f aca="false">Q37-Q17</f>
        <v>0</v>
      </c>
      <c r="R57" s="169" t="n">
        <f aca="false">SUM(F57:Q57)</f>
        <v>-204946.179</v>
      </c>
    </row>
    <row r="58" customFormat="false" ht="16.5" hidden="false" customHeight="true" outlineLevel="0" collapsed="false">
      <c r="B58" s="38" t="n">
        <v>11</v>
      </c>
      <c r="C58" s="22" t="s">
        <v>601</v>
      </c>
      <c r="D58" s="162" t="s">
        <v>603</v>
      </c>
      <c r="F58" s="167" t="n">
        <f aca="false">F38-F18</f>
        <v>-57071.32608</v>
      </c>
      <c r="G58" s="167" t="n">
        <f aca="false">G38-G18</f>
        <v>-42184.58415</v>
      </c>
      <c r="H58" s="167" t="n">
        <f aca="false">H38-H18</f>
        <v>-122701.882</v>
      </c>
      <c r="I58" s="167" t="n">
        <f aca="false">I38-I18</f>
        <v>0</v>
      </c>
      <c r="J58" s="167" t="n">
        <f aca="false">J38-J18</f>
        <v>0</v>
      </c>
      <c r="K58" s="167" t="n">
        <f aca="false">K38-K18</f>
        <v>0</v>
      </c>
      <c r="L58" s="167" t="n">
        <f aca="false">L38-L18</f>
        <v>0</v>
      </c>
      <c r="M58" s="167" t="n">
        <f aca="false">M38-M18</f>
        <v>0</v>
      </c>
      <c r="N58" s="167" t="n">
        <f aca="false">N38-N18</f>
        <v>0</v>
      </c>
      <c r="O58" s="167" t="n">
        <f aca="false">O38-O18</f>
        <v>0</v>
      </c>
      <c r="P58" s="167" t="n">
        <f aca="false">P38-P18</f>
        <v>0</v>
      </c>
      <c r="Q58" s="167" t="n">
        <f aca="false">Q38-Q18</f>
        <v>0</v>
      </c>
      <c r="R58" s="168" t="n">
        <f aca="false">SUM(F58:Q58)</f>
        <v>-221957.79223</v>
      </c>
    </row>
    <row r="59" customFormat="false" ht="16.5" hidden="false" customHeight="true" outlineLevel="0" collapsed="false">
      <c r="B59" s="38" t="n">
        <v>12</v>
      </c>
      <c r="C59" s="22" t="s">
        <v>605</v>
      </c>
      <c r="D59" s="162" t="s">
        <v>606</v>
      </c>
      <c r="F59" s="114" t="n">
        <f aca="false">F39-F19</f>
        <v>-48975.1815</v>
      </c>
      <c r="G59" s="114" t="n">
        <f aca="false">G39-G19</f>
        <v>-33231.065</v>
      </c>
      <c r="H59" s="114" t="n">
        <f aca="false">H39-H19</f>
        <v>-104219.57</v>
      </c>
      <c r="I59" s="114" t="n">
        <f aca="false">I39-I19</f>
        <v>0</v>
      </c>
      <c r="J59" s="114" t="n">
        <f aca="false">J39-J19</f>
        <v>0</v>
      </c>
      <c r="K59" s="114" t="n">
        <f aca="false">K39-K19</f>
        <v>0</v>
      </c>
      <c r="L59" s="114" t="n">
        <f aca="false">L39-L19</f>
        <v>0</v>
      </c>
      <c r="M59" s="114" t="n">
        <f aca="false">M39-M19</f>
        <v>0</v>
      </c>
      <c r="N59" s="114" t="n">
        <f aca="false">N39-N19</f>
        <v>0</v>
      </c>
      <c r="O59" s="114" t="n">
        <f aca="false">O39-O19</f>
        <v>0</v>
      </c>
      <c r="P59" s="114" t="n">
        <f aca="false">P39-P19</f>
        <v>0</v>
      </c>
      <c r="Q59" s="114" t="n">
        <f aca="false">Q39-Q19</f>
        <v>0</v>
      </c>
      <c r="R59" s="169" t="n">
        <f aca="false">SUM(F59:Q59)</f>
        <v>-186425.8165</v>
      </c>
    </row>
    <row r="60" customFormat="false" ht="16.5" hidden="false" customHeight="true" outlineLevel="0" collapsed="false">
      <c r="B60" s="38" t="n">
        <v>13</v>
      </c>
      <c r="C60" s="22" t="s">
        <v>608</v>
      </c>
      <c r="D60" s="162" t="s">
        <v>609</v>
      </c>
      <c r="F60" s="167" t="n">
        <f aca="false">F40-F20</f>
        <v>-46537.5785</v>
      </c>
      <c r="G60" s="167" t="n">
        <f aca="false">G40-G20</f>
        <v>-30791.404</v>
      </c>
      <c r="H60" s="167" t="n">
        <f aca="false">H40-H20</f>
        <v>-99146.6</v>
      </c>
      <c r="I60" s="167" t="n">
        <f aca="false">I40-I20</f>
        <v>0</v>
      </c>
      <c r="J60" s="167" t="n">
        <f aca="false">J40-J20</f>
        <v>0</v>
      </c>
      <c r="K60" s="167" t="n">
        <f aca="false">K40-K20</f>
        <v>0</v>
      </c>
      <c r="L60" s="167" t="n">
        <f aca="false">L40-L20</f>
        <v>0</v>
      </c>
      <c r="M60" s="167" t="n">
        <f aca="false">M40-M20</f>
        <v>0</v>
      </c>
      <c r="N60" s="167" t="n">
        <f aca="false">N40-N20</f>
        <v>0</v>
      </c>
      <c r="O60" s="167" t="n">
        <f aca="false">O40-O20</f>
        <v>0</v>
      </c>
      <c r="P60" s="167" t="n">
        <f aca="false">P40-P20</f>
        <v>0</v>
      </c>
      <c r="Q60" s="167" t="n">
        <f aca="false">Q40-Q20</f>
        <v>0</v>
      </c>
      <c r="R60" s="168" t="n">
        <f aca="false">SUM(F60:Q60)</f>
        <v>-176475.5825</v>
      </c>
    </row>
    <row r="61" customFormat="false" ht="16.5" hidden="false" customHeight="true" outlineLevel="0" collapsed="false">
      <c r="B61" s="38" t="n">
        <v>14</v>
      </c>
      <c r="C61" s="22" t="s">
        <v>611</v>
      </c>
      <c r="D61" s="162" t="s">
        <v>331</v>
      </c>
      <c r="F61" s="114" t="n">
        <f aca="false">F41-F21</f>
        <v>-92258.635</v>
      </c>
      <c r="G61" s="114" t="n">
        <f aca="false">G41-G21</f>
        <v>-68435.0142</v>
      </c>
      <c r="H61" s="114" t="n">
        <f aca="false">H41-H21</f>
        <v>-208797.036</v>
      </c>
      <c r="I61" s="114" t="n">
        <f aca="false">I41-I21</f>
        <v>0</v>
      </c>
      <c r="J61" s="114" t="n">
        <f aca="false">J41-J21</f>
        <v>0</v>
      </c>
      <c r="K61" s="114" t="n">
        <f aca="false">K41-K21</f>
        <v>0</v>
      </c>
      <c r="L61" s="114" t="n">
        <f aca="false">L41-L21</f>
        <v>0</v>
      </c>
      <c r="M61" s="114" t="n">
        <f aca="false">M41-M21</f>
        <v>0</v>
      </c>
      <c r="N61" s="114" t="n">
        <f aca="false">N41-N21</f>
        <v>0</v>
      </c>
      <c r="O61" s="114" t="n">
        <f aca="false">O41-O21</f>
        <v>0</v>
      </c>
      <c r="P61" s="114" t="n">
        <f aca="false">P41-P21</f>
        <v>0</v>
      </c>
      <c r="Q61" s="114" t="n">
        <f aca="false">Q41-Q21</f>
        <v>0</v>
      </c>
      <c r="R61" s="169" t="n">
        <f aca="false">SUM(F61:Q61)</f>
        <v>-369490.6852</v>
      </c>
    </row>
    <row r="62" customFormat="false" ht="16.5" hidden="false" customHeight="true" outlineLevel="0" collapsed="false">
      <c r="B62" s="38" t="n">
        <v>15</v>
      </c>
      <c r="C62" s="22" t="s">
        <v>614</v>
      </c>
      <c r="D62" s="162" t="s">
        <v>332</v>
      </c>
      <c r="F62" s="167" t="n">
        <f aca="false">F42-F22</f>
        <v>0</v>
      </c>
      <c r="G62" s="167" t="n">
        <f aca="false">G42-G22</f>
        <v>0</v>
      </c>
      <c r="H62" s="167" t="n">
        <f aca="false">H42-H22</f>
        <v>0</v>
      </c>
      <c r="I62" s="167" t="n">
        <f aca="false">I42-I22</f>
        <v>0</v>
      </c>
      <c r="J62" s="167" t="n">
        <f aca="false">J42-J22</f>
        <v>0</v>
      </c>
      <c r="K62" s="167" t="n">
        <f aca="false">K42-K22</f>
        <v>0</v>
      </c>
      <c r="L62" s="167" t="n">
        <f aca="false">L42-L22</f>
        <v>0</v>
      </c>
      <c r="M62" s="167" t="n">
        <f aca="false">M42-M22</f>
        <v>0</v>
      </c>
      <c r="N62" s="167" t="n">
        <f aca="false">N42-N22</f>
        <v>0</v>
      </c>
      <c r="O62" s="167" t="n">
        <f aca="false">O42-O22</f>
        <v>0</v>
      </c>
      <c r="P62" s="167" t="n">
        <f aca="false">P42-P22</f>
        <v>0</v>
      </c>
      <c r="Q62" s="167" t="n">
        <f aca="false">Q42-Q22</f>
        <v>0</v>
      </c>
      <c r="R62" s="168" t="n">
        <f aca="false">SUM(F62:Q62)</f>
        <v>0</v>
      </c>
    </row>
    <row r="63" customFormat="false" ht="16.5" hidden="false" customHeight="true" outlineLevel="0" collapsed="false">
      <c r="B63" s="38" t="n">
        <v>16</v>
      </c>
      <c r="C63" s="22" t="s">
        <v>616</v>
      </c>
      <c r="D63" s="162" t="s">
        <v>618</v>
      </c>
      <c r="F63" s="114" t="n">
        <f aca="false">F43-F23</f>
        <v>4027.9232878</v>
      </c>
      <c r="G63" s="114" t="n">
        <f aca="false">G43-G23</f>
        <v>12341.8094794</v>
      </c>
      <c r="H63" s="114" t="n">
        <f aca="false">H43-H23</f>
        <v>0</v>
      </c>
      <c r="I63" s="114" t="n">
        <f aca="false">I43-I23</f>
        <v>0</v>
      </c>
      <c r="J63" s="114" t="n">
        <f aca="false">J43-J23</f>
        <v>0</v>
      </c>
      <c r="K63" s="114" t="n">
        <f aca="false">K43-K23</f>
        <v>0</v>
      </c>
      <c r="L63" s="114" t="n">
        <f aca="false">L43-L23</f>
        <v>0</v>
      </c>
      <c r="M63" s="114" t="n">
        <f aca="false">M43-M23</f>
        <v>0</v>
      </c>
      <c r="N63" s="114" t="n">
        <f aca="false">N43-N23</f>
        <v>0</v>
      </c>
      <c r="O63" s="114" t="n">
        <f aca="false">O43-O23</f>
        <v>0</v>
      </c>
      <c r="P63" s="114" t="n">
        <f aca="false">P43-P23</f>
        <v>0</v>
      </c>
      <c r="Q63" s="114" t="n">
        <f aca="false">Q43-Q23</f>
        <v>0</v>
      </c>
      <c r="R63" s="169" t="n">
        <f aca="false">SUM(F63:Q63)</f>
        <v>16369.7327672</v>
      </c>
    </row>
    <row r="64" customFormat="false" ht="21.75" hidden="false" customHeight="true" outlineLevel="0" collapsed="false">
      <c r="B64" s="170" t="s">
        <v>633</v>
      </c>
      <c r="C64" s="170"/>
      <c r="D64" s="170"/>
      <c r="F64" s="171" t="n">
        <f aca="false">SUM(F48:F63)</f>
        <v>-459609.6920522</v>
      </c>
      <c r="G64" s="171" t="n">
        <f aca="false">SUM(G48:G63)</f>
        <v>-303013.3441406</v>
      </c>
      <c r="H64" s="171" t="n">
        <f aca="false">SUM(H48:H63)</f>
        <v>-940278.264</v>
      </c>
      <c r="I64" s="171" t="n">
        <f aca="false">SUM(I48:I63)</f>
        <v>0</v>
      </c>
      <c r="J64" s="171" t="n">
        <f aca="false">SUM(J48:J63)</f>
        <v>0</v>
      </c>
      <c r="K64" s="171" t="n">
        <f aca="false">SUM(K48:K63)</f>
        <v>0</v>
      </c>
      <c r="L64" s="171" t="n">
        <f aca="false">SUM(L48:L63)</f>
        <v>0</v>
      </c>
      <c r="M64" s="171" t="n">
        <f aca="false">SUM(M48:M63)</f>
        <v>0</v>
      </c>
      <c r="N64" s="171" t="n">
        <f aca="false">SUM(N48:N63)</f>
        <v>0</v>
      </c>
      <c r="O64" s="171" t="n">
        <f aca="false">SUM(O48:O63)</f>
        <v>0</v>
      </c>
      <c r="P64" s="171" t="n">
        <f aca="false">SUM(P48:P63)</f>
        <v>0</v>
      </c>
      <c r="Q64" s="171" t="n">
        <f aca="false">SUM(Q48:Q63)</f>
        <v>0</v>
      </c>
      <c r="R64" s="171" t="n">
        <f aca="false">SUM(R48:R63)</f>
        <v>-1702901.3001928</v>
      </c>
    </row>
  </sheetData>
  <mergeCells count="8">
    <mergeCell ref="B1:R3"/>
    <mergeCell ref="B4:R4"/>
    <mergeCell ref="B6:R6"/>
    <mergeCell ref="B24:D24"/>
    <mergeCell ref="B26:R26"/>
    <mergeCell ref="B44:D44"/>
    <mergeCell ref="B46:R46"/>
    <mergeCell ref="B64:D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B1:M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4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7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11" min="9" style="0" width="15"/>
    <col collapsed="false" customWidth="true" hidden="false" outlineLevel="0" max="12" min="12" style="0" width="10"/>
    <col collapsed="false" customWidth="true" hidden="false" outlineLevel="0" max="13" min="13" style="0" width="12"/>
  </cols>
  <sheetData>
    <row r="1" customFormat="false" ht="15" hidden="false" customHeight="true" outlineLevel="0" collapsed="false">
      <c r="B1" s="172" t="s">
        <v>634</v>
      </c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</row>
    <row r="2" customFormat="false" ht="15" hidden="false" customHeight="false" outlineLevel="0" collapsed="false"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</row>
    <row r="3" customFormat="false" ht="15" hidden="false" customHeight="false" outlineLevel="0" collapsed="false"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</row>
    <row r="4" customFormat="false" ht="15" hidden="false" customHeight="true" outlineLevel="0" collapsed="false">
      <c r="B4" s="173" t="s">
        <v>635</v>
      </c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</row>
    <row r="5" customFormat="false" ht="15" hidden="false" customHeight="false" outlineLevel="0" collapsed="false">
      <c r="B5" s="173"/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</row>
    <row r="7" customFormat="false" ht="15" hidden="false" customHeight="true" outlineLevel="0" collapsed="false">
      <c r="B7" s="174" t="s">
        <v>636</v>
      </c>
      <c r="C7" s="174"/>
      <c r="D7" s="174"/>
    </row>
    <row r="8" customFormat="false" ht="15" hidden="false" customHeight="false" outlineLevel="0" collapsed="false">
      <c r="B8" s="175" t="s">
        <v>637</v>
      </c>
      <c r="C8" s="175" t="s">
        <v>638</v>
      </c>
      <c r="D8" s="175" t="s">
        <v>639</v>
      </c>
    </row>
    <row r="9" customFormat="false" ht="15" hidden="false" customHeight="true" outlineLevel="0" collapsed="false">
      <c r="B9" s="176" t="n">
        <v>3</v>
      </c>
      <c r="C9" s="129" t="n">
        <v>8.2</v>
      </c>
      <c r="D9" s="177" t="n">
        <v>0.879</v>
      </c>
    </row>
    <row r="10" customFormat="false" ht="15" hidden="false" customHeight="true" outlineLevel="0" collapsed="false">
      <c r="B10" s="178" t="n">
        <v>4</v>
      </c>
      <c r="C10" s="44" t="n">
        <v>28.7</v>
      </c>
      <c r="D10" s="179" t="n">
        <v>0.844</v>
      </c>
    </row>
    <row r="11" customFormat="false" ht="15" hidden="false" customHeight="true" outlineLevel="0" collapsed="false">
      <c r="B11" s="176" t="n">
        <v>5</v>
      </c>
      <c r="C11" s="129" t="n">
        <v>74.2</v>
      </c>
      <c r="D11" s="177" t="n">
        <v>0.828</v>
      </c>
    </row>
    <row r="12" customFormat="false" ht="15" hidden="false" customHeight="true" outlineLevel="0" collapsed="false">
      <c r="B12" s="178" t="n">
        <v>6</v>
      </c>
      <c r="C12" s="44" t="n">
        <v>140.2</v>
      </c>
      <c r="D12" s="179" t="n">
        <v>0.822</v>
      </c>
    </row>
    <row r="13" customFormat="false" ht="15" hidden="false" customHeight="true" outlineLevel="0" collapsed="false">
      <c r="B13" s="176" t="n">
        <v>7</v>
      </c>
      <c r="C13" s="129" t="n">
        <v>230.3</v>
      </c>
      <c r="D13" s="177" t="n">
        <v>0.82</v>
      </c>
    </row>
    <row r="14" customFormat="false" ht="15" hidden="false" customHeight="true" outlineLevel="0" collapsed="false">
      <c r="B14" s="178" t="n">
        <v>8</v>
      </c>
      <c r="C14" s="44" t="n">
        <v>351</v>
      </c>
      <c r="D14" s="179" t="n">
        <v>0.819</v>
      </c>
    </row>
    <row r="15" customFormat="false" ht="15" hidden="false" customHeight="true" outlineLevel="0" collapsed="false">
      <c r="B15" s="176" t="n">
        <v>9</v>
      </c>
      <c r="C15" s="129" t="n">
        <v>499.6</v>
      </c>
      <c r="D15" s="177" t="n">
        <v>0.795</v>
      </c>
    </row>
    <row r="16" customFormat="false" ht="15" hidden="false" customHeight="true" outlineLevel="0" collapsed="false">
      <c r="B16" s="178" t="n">
        <v>10</v>
      </c>
      <c r="C16" s="44" t="n">
        <v>660.2</v>
      </c>
      <c r="D16" s="179" t="n">
        <v>0.703</v>
      </c>
    </row>
    <row r="17" customFormat="false" ht="15" hidden="false" customHeight="true" outlineLevel="0" collapsed="false">
      <c r="B17" s="176" t="n">
        <v>11</v>
      </c>
      <c r="C17" s="129" t="n">
        <v>758.3</v>
      </c>
      <c r="D17" s="177" t="n">
        <v>0.563</v>
      </c>
    </row>
    <row r="18" customFormat="false" ht="15" hidden="false" customHeight="true" outlineLevel="0" collapsed="false">
      <c r="B18" s="178" t="n">
        <v>12</v>
      </c>
      <c r="C18" s="44" t="n">
        <v>811.7</v>
      </c>
      <c r="D18" s="179" t="n">
        <v>0.432</v>
      </c>
    </row>
    <row r="19" customFormat="false" ht="15" hidden="false" customHeight="true" outlineLevel="0" collapsed="false">
      <c r="B19" s="176" t="n">
        <v>13</v>
      </c>
      <c r="C19" s="129" t="n">
        <v>837.6</v>
      </c>
      <c r="D19" s="177" t="n">
        <v>0.328</v>
      </c>
    </row>
    <row r="20" customFormat="false" ht="15" hidden="false" customHeight="true" outlineLevel="0" collapsed="false">
      <c r="B20" s="178" t="n">
        <v>14</v>
      </c>
      <c r="C20" s="44" t="n">
        <v>843</v>
      </c>
      <c r="D20" s="179" t="n">
        <v>0.256</v>
      </c>
    </row>
    <row r="21" customFormat="false" ht="15" hidden="false" customHeight="true" outlineLevel="0" collapsed="false">
      <c r="B21" s="176" t="n">
        <v>15</v>
      </c>
      <c r="C21" s="129" t="n">
        <v>847.4</v>
      </c>
      <c r="D21" s="177" t="n">
        <v>0.205</v>
      </c>
    </row>
    <row r="22" customFormat="false" ht="15" hidden="false" customHeight="true" outlineLevel="0" collapsed="false">
      <c r="B22" s="178" t="n">
        <v>16</v>
      </c>
      <c r="C22" s="44" t="n">
        <v>849.1</v>
      </c>
      <c r="D22" s="179" t="n">
        <v>0.168</v>
      </c>
    </row>
    <row r="23" customFormat="false" ht="15" hidden="false" customHeight="true" outlineLevel="0" collapsed="false">
      <c r="B23" s="176" t="n">
        <v>17</v>
      </c>
      <c r="C23" s="129" t="n">
        <v>850</v>
      </c>
      <c r="D23" s="177" t="n">
        <v>0.14</v>
      </c>
    </row>
    <row r="24" customFormat="false" ht="15" hidden="false" customHeight="true" outlineLevel="0" collapsed="false">
      <c r="B24" s="178" t="n">
        <v>18</v>
      </c>
      <c r="C24" s="44" t="n">
        <v>850</v>
      </c>
      <c r="D24" s="179" t="n">
        <v>0.119</v>
      </c>
    </row>
    <row r="25" customFormat="false" ht="15" hidden="false" customHeight="true" outlineLevel="0" collapsed="false">
      <c r="B25" s="176" t="n">
        <v>19</v>
      </c>
      <c r="C25" s="129" t="n">
        <v>850</v>
      </c>
      <c r="D25" s="177" t="n">
        <v>0.102</v>
      </c>
    </row>
    <row r="26" customFormat="false" ht="15" hidden="false" customHeight="true" outlineLevel="0" collapsed="false">
      <c r="B26" s="178" t="n">
        <v>20</v>
      </c>
      <c r="C26" s="44" t="n">
        <v>850</v>
      </c>
      <c r="D26" s="179" t="n">
        <v>0.089</v>
      </c>
    </row>
    <row r="27" customFormat="false" ht="15" hidden="false" customHeight="true" outlineLevel="0" collapsed="false">
      <c r="B27" s="176" t="n">
        <v>21</v>
      </c>
      <c r="C27" s="129" t="n">
        <v>850</v>
      </c>
      <c r="D27" s="177" t="n">
        <v>0.079</v>
      </c>
    </row>
    <row r="28" customFormat="false" ht="15" hidden="false" customHeight="true" outlineLevel="0" collapsed="false">
      <c r="B28" s="178" t="n">
        <v>22</v>
      </c>
      <c r="C28" s="44" t="n">
        <v>819.3</v>
      </c>
      <c r="D28" s="179" t="n">
        <v>0.078</v>
      </c>
    </row>
    <row r="29" customFormat="false" ht="15" hidden="false" customHeight="true" outlineLevel="0" collapsed="false">
      <c r="B29" s="176" t="n">
        <v>23</v>
      </c>
      <c r="C29" s="129" t="n">
        <v>791.1</v>
      </c>
      <c r="D29" s="177" t="n">
        <v>0.077</v>
      </c>
    </row>
    <row r="30" customFormat="false" ht="15" hidden="false" customHeight="true" outlineLevel="0" collapsed="false">
      <c r="B30" s="180" t="s">
        <v>640</v>
      </c>
      <c r="C30" s="180"/>
      <c r="D30" s="180"/>
    </row>
    <row r="31" customFormat="false" ht="19.5" hidden="false" customHeight="true" outlineLevel="0" collapsed="false">
      <c r="B31" s="174" t="s">
        <v>641</v>
      </c>
      <c r="C31" s="174"/>
      <c r="D31" s="174"/>
    </row>
    <row r="32" customFormat="false" ht="16.5" hidden="false" customHeight="true" outlineLevel="0" collapsed="false">
      <c r="B32" s="181" t="s">
        <v>336</v>
      </c>
      <c r="C32" s="182" t="n">
        <v>24</v>
      </c>
      <c r="D32" s="183"/>
    </row>
    <row r="33" customFormat="false" ht="16.5" hidden="false" customHeight="true" outlineLevel="0" collapsed="false">
      <c r="B33" s="181" t="s">
        <v>333</v>
      </c>
      <c r="C33" s="182" t="n">
        <v>29</v>
      </c>
      <c r="D33" s="183"/>
    </row>
    <row r="34" customFormat="false" ht="16.5" hidden="false" customHeight="true" outlineLevel="0" collapsed="false">
      <c r="B34" s="181" t="s">
        <v>335</v>
      </c>
      <c r="C34" s="182" t="n">
        <v>19</v>
      </c>
      <c r="D34" s="183"/>
    </row>
    <row r="36" customFormat="false" ht="15" hidden="false" customHeight="true" outlineLevel="0" collapsed="false">
      <c r="B36" s="33" t="s">
        <v>642</v>
      </c>
      <c r="C36" s="33"/>
      <c r="D36" s="33"/>
    </row>
    <row r="37" customFormat="false" ht="21.75" hidden="false" customHeight="true" outlineLevel="0" collapsed="false">
      <c r="B37" s="22" t="s">
        <v>643</v>
      </c>
      <c r="C37" s="184" t="n">
        <v>0.8</v>
      </c>
      <c r="D37" s="185" t="s">
        <v>644</v>
      </c>
    </row>
    <row r="39" customFormat="false" ht="24" hidden="false" customHeight="true" outlineLevel="0" collapsed="false">
      <c r="B39" s="106" t="s">
        <v>645</v>
      </c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</row>
    <row r="40" customFormat="false" ht="43.5" hidden="false" customHeight="true" outlineLevel="0" collapsed="false">
      <c r="B40" s="159" t="s">
        <v>345</v>
      </c>
      <c r="C40" s="159" t="s">
        <v>310</v>
      </c>
      <c r="D40" s="159" t="s">
        <v>317</v>
      </c>
      <c r="E40" s="159" t="s">
        <v>309</v>
      </c>
      <c r="F40" s="159" t="s">
        <v>646</v>
      </c>
      <c r="G40" s="159" t="s">
        <v>647</v>
      </c>
      <c r="H40" s="159" t="s">
        <v>648</v>
      </c>
      <c r="I40" s="148" t="s">
        <v>649</v>
      </c>
      <c r="J40" s="146" t="s">
        <v>650</v>
      </c>
      <c r="K40" s="186" t="s">
        <v>651</v>
      </c>
      <c r="L40" s="187" t="s">
        <v>652</v>
      </c>
      <c r="M40" s="161" t="s">
        <v>653</v>
      </c>
    </row>
    <row r="41" customFormat="false" ht="15.75" hidden="false" customHeight="true" outlineLevel="0" collapsed="false">
      <c r="B41" s="38" t="n">
        <v>1</v>
      </c>
      <c r="C41" s="22" t="s">
        <v>336</v>
      </c>
      <c r="D41" s="71" t="s">
        <v>334</v>
      </c>
      <c r="E41" s="94" t="s">
        <v>318</v>
      </c>
      <c r="F41" s="188" t="n">
        <v>31</v>
      </c>
      <c r="G41" s="189" t="n">
        <f aca="false">IFERROR(Irraggiamento_PVGIS!E45,0)</f>
        <v>0</v>
      </c>
      <c r="H41" s="190" t="n">
        <v>24</v>
      </c>
      <c r="I41" s="46" t="n">
        <f aca="false">IFERROR(IF(G41&lt;3,0,IF(G41&gt;=23,791.1*H41*744/1000,let(v,G41,vlo,aggregate(14,6,IF($B$9:$B$29&lt;=v,$B$9:$B$29),1),vhi,aggregate(15,6,IF($B$9:$B$29&gt;v,$B$9:$B$29),1),plo,INDEX($C$9:$C$29,MATCH(vlo,$B$9:$B$29,0)),phi,INDEX($C$9:$C$29,MATCH(vhi,$B$9:$B$29,0)),(plo+(v-vlo)/(vhi-vlo)*(phi-plo))*H41*744/1000))),0)</f>
        <v>0</v>
      </c>
      <c r="J41" s="23" t="n">
        <f aca="false">IFERROR(SUMIFS(Fonte_Dati!E:E,Fonte_Dati!D:D,C41,Fonte_Dati!C:C,"Gennaio")/1000,0)</f>
        <v>4716.69521352058</v>
      </c>
      <c r="K41" s="191" t="n">
        <f aca="false">IFERROR(I41-J41,"")</f>
        <v>-4716.69521352058</v>
      </c>
      <c r="L41" s="192" t="str">
        <f aca="false">IFERROR(K41/I41,"")</f>
        <v/>
      </c>
      <c r="M41" s="21" t="str">
        <f aca="false">IFERROR(IF(ABS(L41)&gt;0.2,"⚠ Alto",IF(ABS(L41)&gt;0.08,"⚡ Medio","✅ OK")),"—")</f>
        <v>—</v>
      </c>
    </row>
    <row r="42" customFormat="false" ht="15.75" hidden="false" customHeight="true" outlineLevel="0" collapsed="false">
      <c r="B42" s="38" t="n">
        <v>1</v>
      </c>
      <c r="C42" s="22" t="s">
        <v>336</v>
      </c>
      <c r="D42" s="71" t="s">
        <v>334</v>
      </c>
      <c r="E42" s="95" t="s">
        <v>337</v>
      </c>
      <c r="F42" s="188" t="n">
        <v>28</v>
      </c>
      <c r="G42" s="189" t="n">
        <f aca="false">IFERROR(Irraggiamento_PVGIS!F45,0)</f>
        <v>0</v>
      </c>
      <c r="H42" s="190" t="n">
        <v>24</v>
      </c>
      <c r="I42" s="46" t="n">
        <f aca="false">IFERROR(IF(G42&lt;3,0,IF(G42&gt;=23,791.1*H42*672/1000,let(v,G42,vlo,aggregate(14,6,IF($B$9:$B$29&lt;=v,$B$9:$B$29),1),vhi,aggregate(15,6,IF($B$9:$B$29&gt;v,$B$9:$B$29),1),plo,INDEX($C$9:$C$29,MATCH(vlo,$B$9:$B$29,0)),phi,INDEX($C$9:$C$29,MATCH(vhi,$B$9:$B$29,0)),(plo+(v-vlo)/(vhi-vlo)*(phi-plo))*H42*672/1000))),0)</f>
        <v>0</v>
      </c>
      <c r="J42" s="23" t="n">
        <f aca="false">IFERROR(SUMIFS(Fonte_Dati!E:E,Fonte_Dati!D:D,C42,Fonte_Dati!C:C,"Febbraio")/1000,0)</f>
        <v>4379.17985288061</v>
      </c>
      <c r="K42" s="191" t="n">
        <f aca="false">IFERROR(I42-J42,"")</f>
        <v>-4379.17985288061</v>
      </c>
      <c r="L42" s="192" t="str">
        <f aca="false">IFERROR(K42/I42,"")</f>
        <v/>
      </c>
      <c r="M42" s="21" t="str">
        <f aca="false">IFERROR(IF(ABS(L42)&gt;0.2,"⚠ Alto",IF(ABS(L42)&gt;0.08,"⚡ Medio","✅ OK")),"—")</f>
        <v>—</v>
      </c>
    </row>
    <row r="43" customFormat="false" ht="15.75" hidden="false" customHeight="true" outlineLevel="0" collapsed="false">
      <c r="B43" s="38" t="n">
        <v>1</v>
      </c>
      <c r="C43" s="22" t="s">
        <v>336</v>
      </c>
      <c r="D43" s="71" t="s">
        <v>334</v>
      </c>
      <c r="E43" s="96" t="s">
        <v>338</v>
      </c>
      <c r="F43" s="188" t="n">
        <v>31</v>
      </c>
      <c r="G43" s="189" t="n">
        <f aca="false">IFERROR(Irraggiamento_PVGIS!G45,0)</f>
        <v>0</v>
      </c>
      <c r="H43" s="190" t="n">
        <v>24</v>
      </c>
      <c r="I43" s="46" t="n">
        <f aca="false">IFERROR(IF(G43&lt;3,0,IF(G43&gt;=23,791.1*H43*744/1000,let(v,G43,vlo,aggregate(14,6,IF($B$9:$B$29&lt;=v,$B$9:$B$29),1),vhi,aggregate(15,6,IF($B$9:$B$29&gt;v,$B$9:$B$29),1),plo,INDEX($C$9:$C$29,MATCH(vlo,$B$9:$B$29,0)),phi,INDEX($C$9:$C$29,MATCH(vhi,$B$9:$B$29,0)),(plo+(v-vlo)/(vhi-vlo)*(phi-plo))*H43*744/1000))),0)</f>
        <v>0</v>
      </c>
      <c r="J43" s="23" t="n">
        <f aca="false">IFERROR(SUMIFS(Fonte_Dati!E:E,Fonte_Dati!D:D,C43,Fonte_Dati!C:C,"Marzo")/1000,0)</f>
        <v>0.348540819228402</v>
      </c>
      <c r="K43" s="191" t="n">
        <f aca="false">IFERROR(I43-J43,"")</f>
        <v>-0.348540819228402</v>
      </c>
      <c r="L43" s="192" t="str">
        <f aca="false">IFERROR(K43/I43,"")</f>
        <v/>
      </c>
      <c r="M43" s="21" t="str">
        <f aca="false">IFERROR(IF(ABS(L43)&gt;0.2,"⚠ Alto",IF(ABS(L43)&gt;0.08,"⚡ Medio","✅ OK")),"—")</f>
        <v>—</v>
      </c>
    </row>
    <row r="44" customFormat="false" ht="18" hidden="false" customHeight="true" outlineLevel="0" collapsed="false">
      <c r="B44" s="193" t="s">
        <v>654</v>
      </c>
      <c r="C44" s="193"/>
      <c r="D44" s="193"/>
      <c r="E44" s="193"/>
      <c r="F44" s="193"/>
      <c r="G44" s="193"/>
      <c r="H44" s="193"/>
      <c r="I44" s="194" t="n">
        <f aca="false">SUM(I41:I43)</f>
        <v>0</v>
      </c>
      <c r="J44" s="194" t="n">
        <f aca="false">SUM(J41:J43)</f>
        <v>9096.22360722042</v>
      </c>
      <c r="K44" s="195" t="n">
        <f aca="false">SUM(K41:K43)</f>
        <v>-9096.22360722042</v>
      </c>
      <c r="L44" s="196" t="str">
        <f aca="false">IFERROR(K44/I44,"")</f>
        <v/>
      </c>
    </row>
    <row r="45" customFormat="false" ht="15.75" hidden="false" customHeight="true" outlineLevel="0" collapsed="false">
      <c r="B45" s="38" t="n">
        <v>2</v>
      </c>
      <c r="C45" s="22" t="s">
        <v>333</v>
      </c>
      <c r="D45" s="71" t="s">
        <v>334</v>
      </c>
      <c r="E45" s="94" t="s">
        <v>318</v>
      </c>
      <c r="F45" s="178" t="n">
        <v>31</v>
      </c>
      <c r="G45" s="189" t="n">
        <f aca="false">IFERROR(Irraggiamento_PVGIS!E43,0)</f>
        <v>0</v>
      </c>
      <c r="H45" s="190" t="n">
        <v>29</v>
      </c>
      <c r="I45" s="46" t="n">
        <f aca="false">IFERROR(IF(G45&lt;3,0,IF(G45&gt;=23,791.1*H45*744/1000,let(v,G45,vlo,aggregate(14,6,IF($B$9:$B$29&lt;=v,$B$9:$B$29),1),vhi,aggregate(15,6,IF($B$9:$B$29&gt;v,$B$9:$B$29),1),plo,INDEX($C$9:$C$29,MATCH(vlo,$B$9:$B$29,0)),phi,INDEX($C$9:$C$29,MATCH(vhi,$B$9:$B$29,0)),(plo+(v-vlo)/(vhi-vlo)*(phi-plo))*H45*744/1000))),0)</f>
        <v>0</v>
      </c>
      <c r="J45" s="26" t="n">
        <f aca="false">IFERROR(SUMIFS(Fonte_Dati!E:E,Fonte_Dati!D:D,C45,Fonte_Dati!C:C,"Gennaio")/1000,0)</f>
        <v>3977.12271329138</v>
      </c>
      <c r="K45" s="197" t="n">
        <f aca="false">IFERROR(I45-J45,"")</f>
        <v>-3977.12271329138</v>
      </c>
      <c r="L45" s="198" t="str">
        <f aca="false">IFERROR(K45/I45,"")</f>
        <v/>
      </c>
      <c r="M45" s="25" t="str">
        <f aca="false">IFERROR(IF(ABS(L45)&gt;0.2,"⚠ Alto",IF(ABS(L45)&gt;0.08,"⚡ Medio","✅ OK")),"—")</f>
        <v>—</v>
      </c>
    </row>
    <row r="46" customFormat="false" ht="15.75" hidden="false" customHeight="true" outlineLevel="0" collapsed="false">
      <c r="B46" s="38" t="n">
        <v>2</v>
      </c>
      <c r="C46" s="22" t="s">
        <v>333</v>
      </c>
      <c r="D46" s="71" t="s">
        <v>334</v>
      </c>
      <c r="E46" s="95" t="s">
        <v>337</v>
      </c>
      <c r="F46" s="178" t="n">
        <v>28</v>
      </c>
      <c r="G46" s="189" t="n">
        <f aca="false">IFERROR(Irraggiamento_PVGIS!F43,0)</f>
        <v>0</v>
      </c>
      <c r="H46" s="190" t="n">
        <v>29</v>
      </c>
      <c r="I46" s="46" t="n">
        <f aca="false">IFERROR(IF(G46&lt;3,0,IF(G46&gt;=23,791.1*H46*672/1000,let(v,G46,vlo,aggregate(14,6,IF($B$9:$B$29&lt;=v,$B$9:$B$29),1),vhi,aggregate(15,6,IF($B$9:$B$29&gt;v,$B$9:$B$29),1),plo,INDEX($C$9:$C$29,MATCH(vlo,$B$9:$B$29,0)),phi,INDEX($C$9:$C$29,MATCH(vhi,$B$9:$B$29,0)),(plo+(v-vlo)/(vhi-vlo)*(phi-plo))*H46*672/1000))),0)</f>
        <v>0</v>
      </c>
      <c r="J46" s="26" t="n">
        <f aca="false">IFERROR(SUMIFS(Fonte_Dati!E:E,Fonte_Dati!D:D,C46,Fonte_Dati!C:C,"Febbraio")/1000,0)</f>
        <v>4130.19211004309</v>
      </c>
      <c r="K46" s="197" t="n">
        <f aca="false">IFERROR(I46-J46,"")</f>
        <v>-4130.19211004309</v>
      </c>
      <c r="L46" s="198" t="str">
        <f aca="false">IFERROR(K46/I46,"")</f>
        <v/>
      </c>
      <c r="M46" s="25" t="str">
        <f aca="false">IFERROR(IF(ABS(L46)&gt;0.2,"⚠ Alto",IF(ABS(L46)&gt;0.08,"⚡ Medio","✅ OK")),"—")</f>
        <v>—</v>
      </c>
    </row>
    <row r="47" customFormat="false" ht="15.75" hidden="false" customHeight="true" outlineLevel="0" collapsed="false">
      <c r="B47" s="38" t="n">
        <v>2</v>
      </c>
      <c r="C47" s="22" t="s">
        <v>333</v>
      </c>
      <c r="D47" s="71" t="s">
        <v>334</v>
      </c>
      <c r="E47" s="96" t="s">
        <v>338</v>
      </c>
      <c r="F47" s="178" t="n">
        <v>31</v>
      </c>
      <c r="G47" s="189" t="n">
        <f aca="false">IFERROR(Irraggiamento_PVGIS!G43,0)</f>
        <v>0</v>
      </c>
      <c r="H47" s="190" t="n">
        <v>29</v>
      </c>
      <c r="I47" s="46" t="n">
        <f aca="false">IFERROR(IF(G47&lt;3,0,IF(G47&gt;=23,791.1*H47*744/1000,let(v,G47,vlo,aggregate(14,6,IF($B$9:$B$29&lt;=v,$B$9:$B$29),1),vhi,aggregate(15,6,IF($B$9:$B$29&gt;v,$B$9:$B$29),1),plo,INDEX($C$9:$C$29,MATCH(vlo,$B$9:$B$29,0)),phi,INDEX($C$9:$C$29,MATCH(vhi,$B$9:$B$29,0)),(plo+(v-vlo)/(vhi-vlo)*(phi-plo))*H47*744/1000))),0)</f>
        <v>0</v>
      </c>
      <c r="J47" s="26" t="n">
        <f aca="false">IFERROR(SUMIFS(Fonte_Dati!E:E,Fonte_Dati!D:D,C47,Fonte_Dati!C:C,"Marzo")/1000,0)</f>
        <v>0</v>
      </c>
      <c r="K47" s="197" t="n">
        <f aca="false">IFERROR(I47-J47,"")</f>
        <v>0</v>
      </c>
      <c r="L47" s="198" t="str">
        <f aca="false">IFERROR(K47/I47,"")</f>
        <v/>
      </c>
      <c r="M47" s="25" t="str">
        <f aca="false">IFERROR(IF(ABS(L47)&gt;0.2,"⚠ Alto",IF(ABS(L47)&gt;0.08,"⚡ Medio","✅ OK")),"—")</f>
        <v>—</v>
      </c>
    </row>
    <row r="48" customFormat="false" ht="18" hidden="false" customHeight="true" outlineLevel="0" collapsed="false">
      <c r="B48" s="193" t="s">
        <v>655</v>
      </c>
      <c r="C48" s="193"/>
      <c r="D48" s="193"/>
      <c r="E48" s="193"/>
      <c r="F48" s="193"/>
      <c r="G48" s="193"/>
      <c r="H48" s="193"/>
      <c r="I48" s="194" t="n">
        <f aca="false">SUM(I45:I47)</f>
        <v>0</v>
      </c>
      <c r="J48" s="194" t="n">
        <f aca="false">SUM(J45:J47)</f>
        <v>8107.31482333447</v>
      </c>
      <c r="K48" s="195" t="n">
        <f aca="false">SUM(K45:K47)</f>
        <v>-8107.31482333447</v>
      </c>
      <c r="L48" s="196" t="str">
        <f aca="false">IFERROR(K48/I48,"")</f>
        <v/>
      </c>
    </row>
    <row r="49" customFormat="false" ht="15.75" hidden="false" customHeight="true" outlineLevel="0" collapsed="false">
      <c r="B49" s="38" t="n">
        <v>3</v>
      </c>
      <c r="C49" s="22" t="s">
        <v>335</v>
      </c>
      <c r="D49" s="71" t="s">
        <v>334</v>
      </c>
      <c r="E49" s="94" t="s">
        <v>318</v>
      </c>
      <c r="F49" s="188" t="n">
        <v>31</v>
      </c>
      <c r="G49" s="189" t="n">
        <f aca="false">IFERROR(Irraggiamento_PVGIS!E44,0)</f>
        <v>0</v>
      </c>
      <c r="H49" s="190" t="n">
        <v>19</v>
      </c>
      <c r="I49" s="46" t="n">
        <f aca="false">IFERROR(IF(G49&lt;3,0,IF(G49&gt;=23,791.1*H49*744/1000,let(v,G49,vlo,aggregate(14,6,IF($B$9:$B$29&lt;=v,$B$9:$B$29),1),vhi,aggregate(15,6,IF($B$9:$B$29&gt;v,$B$9:$B$29),1),plo,INDEX($C$9:$C$29,MATCH(vlo,$B$9:$B$29,0)),phi,INDEX($C$9:$C$29,MATCH(vhi,$B$9:$B$29,0)),(plo+(v-vlo)/(vhi-vlo)*(phi-plo))*H49*744/1000))),0)</f>
        <v>0</v>
      </c>
      <c r="J49" s="23" t="n">
        <f aca="false">IFERROR(SUMIFS(Fonte_Dati!E:E,Fonte_Dati!D:D,C49,Fonte_Dati!C:C,"Gennaio")/1000,0)</f>
        <v>1906.8541571099</v>
      </c>
      <c r="K49" s="191" t="n">
        <f aca="false">IFERROR(I49-J49,"")</f>
        <v>-1906.8541571099</v>
      </c>
      <c r="L49" s="192" t="str">
        <f aca="false">IFERROR(K49/I49,"")</f>
        <v/>
      </c>
      <c r="M49" s="21" t="str">
        <f aca="false">IFERROR(IF(ABS(L49)&gt;0.2,"⚠ Alto",IF(ABS(L49)&gt;0.08,"⚡ Medio","✅ OK")),"—")</f>
        <v>—</v>
      </c>
    </row>
    <row r="50" customFormat="false" ht="15.75" hidden="false" customHeight="true" outlineLevel="0" collapsed="false">
      <c r="B50" s="38" t="n">
        <v>3</v>
      </c>
      <c r="C50" s="22" t="s">
        <v>335</v>
      </c>
      <c r="D50" s="71" t="s">
        <v>334</v>
      </c>
      <c r="E50" s="95" t="s">
        <v>337</v>
      </c>
      <c r="F50" s="188" t="n">
        <v>28</v>
      </c>
      <c r="G50" s="189" t="n">
        <f aca="false">IFERROR(Irraggiamento_PVGIS!F44,0)</f>
        <v>0</v>
      </c>
      <c r="H50" s="190" t="n">
        <v>19</v>
      </c>
      <c r="I50" s="46" t="n">
        <f aca="false">IFERROR(IF(G50&lt;3,0,IF(G50&gt;=23,791.1*H50*672/1000,let(v,G50,vlo,aggregate(14,6,IF($B$9:$B$29&lt;=v,$B$9:$B$29),1),vhi,aggregate(15,6,IF($B$9:$B$29&gt;v,$B$9:$B$29),1),plo,INDEX($C$9:$C$29,MATCH(vlo,$B$9:$B$29,0)),phi,INDEX($C$9:$C$29,MATCH(vhi,$B$9:$B$29,0)),(plo+(v-vlo)/(vhi-vlo)*(phi-plo))*H50*672/1000))),0)</f>
        <v>0</v>
      </c>
      <c r="J50" s="23" t="n">
        <f aca="false">IFERROR(SUMIFS(Fonte_Dati!E:E,Fonte_Dati!D:D,C50,Fonte_Dati!C:C,"Febbraio")/1000,0)</f>
        <v>2037.27916016772</v>
      </c>
      <c r="K50" s="191" t="n">
        <f aca="false">IFERROR(I50-J50,"")</f>
        <v>-2037.27916016772</v>
      </c>
      <c r="L50" s="192" t="str">
        <f aca="false">IFERROR(K50/I50,"")</f>
        <v/>
      </c>
      <c r="M50" s="21" t="str">
        <f aca="false">IFERROR(IF(ABS(L50)&gt;0.2,"⚠ Alto",IF(ABS(L50)&gt;0.08,"⚡ Medio","✅ OK")),"—")</f>
        <v>—</v>
      </c>
    </row>
    <row r="51" customFormat="false" ht="15.75" hidden="false" customHeight="true" outlineLevel="0" collapsed="false">
      <c r="B51" s="38" t="n">
        <v>3</v>
      </c>
      <c r="C51" s="22" t="s">
        <v>335</v>
      </c>
      <c r="D51" s="71" t="s">
        <v>334</v>
      </c>
      <c r="E51" s="96" t="s">
        <v>338</v>
      </c>
      <c r="F51" s="188" t="n">
        <v>31</v>
      </c>
      <c r="G51" s="189" t="n">
        <f aca="false">IFERROR(Irraggiamento_PVGIS!G44,0)</f>
        <v>0</v>
      </c>
      <c r="H51" s="190" t="n">
        <v>19</v>
      </c>
      <c r="I51" s="46" t="n">
        <f aca="false">IFERROR(IF(G51&lt;3,0,IF(G51&gt;=23,791.1*H51*744/1000,let(v,G51,vlo,aggregate(14,6,IF($B$9:$B$29&lt;=v,$B$9:$B$29),1),vhi,aggregate(15,6,IF($B$9:$B$29&gt;v,$B$9:$B$29),1),plo,INDEX($C$9:$C$29,MATCH(vlo,$B$9:$B$29,0)),phi,INDEX($C$9:$C$29,MATCH(vhi,$B$9:$B$29,0)),(plo+(v-vlo)/(vhi-vlo)*(phi-plo))*H51*744/1000))),0)</f>
        <v>0</v>
      </c>
      <c r="J51" s="23" t="n">
        <f aca="false">IFERROR(SUMIFS(Fonte_Dati!E:E,Fonte_Dati!D:D,C51,Fonte_Dati!C:C,"Marzo")/1000,0)</f>
        <v>0.922949397590387</v>
      </c>
      <c r="K51" s="191" t="n">
        <f aca="false">IFERROR(I51-J51,"")</f>
        <v>-0.922949397590387</v>
      </c>
      <c r="L51" s="192" t="str">
        <f aca="false">IFERROR(K51/I51,"")</f>
        <v/>
      </c>
      <c r="M51" s="21" t="str">
        <f aca="false">IFERROR(IF(ABS(L51)&gt;0.2,"⚠ Alto",IF(ABS(L51)&gt;0.08,"⚡ Medio","✅ OK")),"—")</f>
        <v>—</v>
      </c>
    </row>
    <row r="52" customFormat="false" ht="18" hidden="false" customHeight="true" outlineLevel="0" collapsed="false">
      <c r="B52" s="193" t="s">
        <v>656</v>
      </c>
      <c r="C52" s="193"/>
      <c r="D52" s="193"/>
      <c r="E52" s="193"/>
      <c r="F52" s="193"/>
      <c r="G52" s="193"/>
      <c r="H52" s="193"/>
      <c r="I52" s="194" t="n">
        <f aca="false">SUM(I49:I51)</f>
        <v>0</v>
      </c>
      <c r="J52" s="194" t="n">
        <f aca="false">SUM(J49:J51)</f>
        <v>3945.05626667521</v>
      </c>
      <c r="K52" s="195" t="n">
        <f aca="false">SUM(K49:K51)</f>
        <v>-3945.05626667521</v>
      </c>
      <c r="L52" s="196" t="str">
        <f aca="false">IFERROR(K52/I52,"")</f>
        <v/>
      </c>
    </row>
    <row r="53" customFormat="false" ht="15.75" hidden="false" customHeight="true" outlineLevel="0" collapsed="false">
      <c r="B53" s="38" t="n">
        <v>4</v>
      </c>
      <c r="C53" s="22" t="s">
        <v>323</v>
      </c>
      <c r="D53" s="75" t="s">
        <v>320</v>
      </c>
      <c r="E53" s="94" t="s">
        <v>318</v>
      </c>
      <c r="F53" s="178" t="n">
        <v>31</v>
      </c>
      <c r="G53" s="199" t="n">
        <f aca="false">IFERROR(Irraggiamento_PVGIS!E33,0)</f>
        <v>0</v>
      </c>
      <c r="H53" s="200" t="n">
        <f aca="false">IFERROR(VLOOKUP(C53,DB_Impianti!C:K,9,0),"")</f>
        <v>0</v>
      </c>
      <c r="I53" s="46" t="n">
        <f aca="false">IFERROR(G53*H53*Analisi_Perdite!C37/1000,"")</f>
        <v>0</v>
      </c>
      <c r="J53" s="26" t="n">
        <f aca="false">IFERROR(SUMIFS(Fonte_Dati!E:E,Fonte_Dati!D:D,C53,Fonte_Dati!C:C,"Gennaio")/1000,0)</f>
        <v>629.425759999999</v>
      </c>
      <c r="K53" s="197" t="n">
        <f aca="false">IFERROR(I53-J53,"")</f>
        <v>-629.425759999999</v>
      </c>
      <c r="L53" s="198" t="str">
        <f aca="false">IFERROR(K53/I53,"")</f>
        <v/>
      </c>
      <c r="M53" s="25" t="str">
        <f aca="false">IFERROR(IF(ABS(L53)&gt;0.2,"⚠ Alto",IF(ABS(L53)&gt;0.08,"⚡ Medio","✅ OK")),"—")</f>
        <v>—</v>
      </c>
    </row>
    <row r="54" customFormat="false" ht="15.75" hidden="false" customHeight="true" outlineLevel="0" collapsed="false">
      <c r="B54" s="38" t="n">
        <v>4</v>
      </c>
      <c r="C54" s="22" t="s">
        <v>323</v>
      </c>
      <c r="D54" s="75" t="s">
        <v>320</v>
      </c>
      <c r="E54" s="95" t="s">
        <v>337</v>
      </c>
      <c r="F54" s="178" t="n">
        <v>28</v>
      </c>
      <c r="G54" s="199" t="n">
        <f aca="false">IFERROR(Irraggiamento_PVGIS!F33,0)</f>
        <v>0</v>
      </c>
      <c r="H54" s="200" t="n">
        <f aca="false">IFERROR(VLOOKUP(C54,DB_Impianti!C:K,9,0),"")</f>
        <v>0</v>
      </c>
      <c r="I54" s="46" t="n">
        <f aca="false">IFERROR(G54*H54*Analisi_Perdite!C37/1000,"")</f>
        <v>0</v>
      </c>
      <c r="J54" s="26" t="n">
        <f aca="false">IFERROR(SUMIFS(Fonte_Dati!E:E,Fonte_Dati!D:D,C54,Fonte_Dati!C:C,"Febbraio")/1000,0)</f>
        <v>914.786720000001</v>
      </c>
      <c r="K54" s="197" t="n">
        <f aca="false">IFERROR(I54-J54,"")</f>
        <v>-914.786720000001</v>
      </c>
      <c r="L54" s="198" t="str">
        <f aca="false">IFERROR(K54/I54,"")</f>
        <v/>
      </c>
      <c r="M54" s="25" t="str">
        <f aca="false">IFERROR(IF(ABS(L54)&gt;0.2,"⚠ Alto",IF(ABS(L54)&gt;0.08,"⚡ Medio","✅ OK")),"—")</f>
        <v>—</v>
      </c>
    </row>
    <row r="55" customFormat="false" ht="15.75" hidden="false" customHeight="true" outlineLevel="0" collapsed="false">
      <c r="B55" s="38" t="n">
        <v>4</v>
      </c>
      <c r="C55" s="22" t="s">
        <v>323</v>
      </c>
      <c r="D55" s="75" t="s">
        <v>320</v>
      </c>
      <c r="E55" s="96" t="s">
        <v>338</v>
      </c>
      <c r="F55" s="178" t="n">
        <v>31</v>
      </c>
      <c r="G55" s="199" t="n">
        <f aca="false">IFERROR(Irraggiamento_PVGIS!G33,0)</f>
        <v>0</v>
      </c>
      <c r="H55" s="200" t="n">
        <f aca="false">IFERROR(VLOOKUP(C55,DB_Impianti!C:K,9,0),"")</f>
        <v>0</v>
      </c>
      <c r="I55" s="46" t="n">
        <f aca="false">IFERROR(G55*H55*Analisi_Perdite!C37/1000,"")</f>
        <v>0</v>
      </c>
      <c r="J55" s="26" t="n">
        <f aca="false">IFERROR(SUMIFS(Fonte_Dati!E:E,Fonte_Dati!D:D,C55,Fonte_Dati!C:C,"Marzo")/1000,0)</f>
        <v>0</v>
      </c>
      <c r="K55" s="197" t="n">
        <f aca="false">IFERROR(I55-J55,"")</f>
        <v>0</v>
      </c>
      <c r="L55" s="198" t="str">
        <f aca="false">IFERROR(K55/I55,"")</f>
        <v/>
      </c>
      <c r="M55" s="25" t="str">
        <f aca="false">IFERROR(IF(ABS(L55)&gt;0.2,"⚠ Alto",IF(ABS(L55)&gt;0.08,"⚡ Medio","✅ OK")),"—")</f>
        <v>—</v>
      </c>
    </row>
    <row r="56" customFormat="false" ht="18" hidden="false" customHeight="true" outlineLevel="0" collapsed="false">
      <c r="B56" s="193" t="s">
        <v>657</v>
      </c>
      <c r="C56" s="193"/>
      <c r="D56" s="193"/>
      <c r="E56" s="193"/>
      <c r="F56" s="193"/>
      <c r="G56" s="193"/>
      <c r="H56" s="193"/>
      <c r="I56" s="194" t="n">
        <f aca="false">SUM(I53:I55)</f>
        <v>0</v>
      </c>
      <c r="J56" s="194" t="n">
        <f aca="false">SUM(J53:J55)</f>
        <v>1544.21248</v>
      </c>
      <c r="K56" s="195" t="n">
        <f aca="false">SUM(K53:K55)</f>
        <v>-1544.21248</v>
      </c>
      <c r="L56" s="196" t="str">
        <f aca="false">IFERROR(K56/I56,"")</f>
        <v/>
      </c>
    </row>
    <row r="57" customFormat="false" ht="15.75" hidden="false" customHeight="true" outlineLevel="0" collapsed="false">
      <c r="B57" s="38" t="n">
        <v>5</v>
      </c>
      <c r="C57" s="22" t="s">
        <v>322</v>
      </c>
      <c r="D57" s="75" t="s">
        <v>320</v>
      </c>
      <c r="E57" s="94" t="s">
        <v>318</v>
      </c>
      <c r="F57" s="188" t="n">
        <v>31</v>
      </c>
      <c r="G57" s="199" t="n">
        <f aca="false">IFERROR(Irraggiamento_PVGIS!E32,0)</f>
        <v>0</v>
      </c>
      <c r="H57" s="200" t="n">
        <f aca="false">IFERROR(VLOOKUP(C57,DB_Impianti!C:K,9,0),"")</f>
        <v>0</v>
      </c>
      <c r="I57" s="46" t="n">
        <f aca="false">IFERROR(G57*H57*Analisi_Perdite!C37/1000,"")</f>
        <v>0</v>
      </c>
      <c r="J57" s="23" t="n">
        <f aca="false">IFERROR(SUMIFS(Fonte_Dati!E:E,Fonte_Dati!D:D,C57,Fonte_Dati!C:C,"Gennaio")/1000,0)</f>
        <v>652.4864</v>
      </c>
      <c r="K57" s="191" t="n">
        <f aca="false">IFERROR(I57-J57,"")</f>
        <v>-652.4864</v>
      </c>
      <c r="L57" s="192" t="str">
        <f aca="false">IFERROR(K57/I57,"")</f>
        <v/>
      </c>
      <c r="M57" s="21" t="str">
        <f aca="false">IFERROR(IF(ABS(L57)&gt;0.2,"⚠ Alto",IF(ABS(L57)&gt;0.08,"⚡ Medio","✅ OK")),"—")</f>
        <v>—</v>
      </c>
    </row>
    <row r="58" customFormat="false" ht="15.75" hidden="false" customHeight="true" outlineLevel="0" collapsed="false">
      <c r="B58" s="38" t="n">
        <v>5</v>
      </c>
      <c r="C58" s="22" t="s">
        <v>322</v>
      </c>
      <c r="D58" s="75" t="s">
        <v>320</v>
      </c>
      <c r="E58" s="95" t="s">
        <v>337</v>
      </c>
      <c r="F58" s="188" t="n">
        <v>28</v>
      </c>
      <c r="G58" s="199" t="n">
        <f aca="false">IFERROR(Irraggiamento_PVGIS!F32,0)</f>
        <v>0</v>
      </c>
      <c r="H58" s="200" t="n">
        <f aca="false">IFERROR(VLOOKUP(C58,DB_Impianti!C:K,9,0),"")</f>
        <v>0</v>
      </c>
      <c r="I58" s="46" t="n">
        <f aca="false">IFERROR(G58*H58*Analisi_Perdite!C37/1000,"")</f>
        <v>0</v>
      </c>
      <c r="J58" s="23" t="n">
        <f aca="false">IFERROR(SUMIFS(Fonte_Dati!E:E,Fonte_Dati!D:D,C58,Fonte_Dati!C:C,"Febbraio")/1000,0)</f>
        <v>851.4772</v>
      </c>
      <c r="K58" s="191" t="n">
        <f aca="false">IFERROR(I58-J58,"")</f>
        <v>-851.4772</v>
      </c>
      <c r="L58" s="192" t="str">
        <f aca="false">IFERROR(K58/I58,"")</f>
        <v/>
      </c>
      <c r="M58" s="21" t="str">
        <f aca="false">IFERROR(IF(ABS(L58)&gt;0.2,"⚠ Alto",IF(ABS(L58)&gt;0.08,"⚡ Medio","✅ OK")),"—")</f>
        <v>—</v>
      </c>
    </row>
    <row r="59" customFormat="false" ht="15.75" hidden="false" customHeight="true" outlineLevel="0" collapsed="false">
      <c r="B59" s="38" t="n">
        <v>5</v>
      </c>
      <c r="C59" s="22" t="s">
        <v>322</v>
      </c>
      <c r="D59" s="75" t="s">
        <v>320</v>
      </c>
      <c r="E59" s="96" t="s">
        <v>338</v>
      </c>
      <c r="F59" s="188" t="n">
        <v>31</v>
      </c>
      <c r="G59" s="199" t="n">
        <f aca="false">IFERROR(Irraggiamento_PVGIS!G32,0)</f>
        <v>0</v>
      </c>
      <c r="H59" s="200" t="n">
        <f aca="false">IFERROR(VLOOKUP(C59,DB_Impianti!C:K,9,0),"")</f>
        <v>0</v>
      </c>
      <c r="I59" s="46" t="n">
        <f aca="false">IFERROR(G59*H59*Analisi_Perdite!C37/1000,"")</f>
        <v>0</v>
      </c>
      <c r="J59" s="23" t="n">
        <f aca="false">IFERROR(SUMIFS(Fonte_Dati!E:E,Fonte_Dati!D:D,C59,Fonte_Dati!C:C,"Marzo")/1000,0)</f>
        <v>0</v>
      </c>
      <c r="K59" s="191" t="n">
        <f aca="false">IFERROR(I59-J59,"")</f>
        <v>0</v>
      </c>
      <c r="L59" s="192" t="str">
        <f aca="false">IFERROR(K59/I59,"")</f>
        <v/>
      </c>
      <c r="M59" s="21" t="str">
        <f aca="false">IFERROR(IF(ABS(L59)&gt;0.2,"⚠ Alto",IF(ABS(L59)&gt;0.08,"⚡ Medio","✅ OK")),"—")</f>
        <v>—</v>
      </c>
    </row>
    <row r="60" customFormat="false" ht="18" hidden="false" customHeight="true" outlineLevel="0" collapsed="false">
      <c r="B60" s="193" t="s">
        <v>658</v>
      </c>
      <c r="C60" s="193"/>
      <c r="D60" s="193"/>
      <c r="E60" s="193"/>
      <c r="F60" s="193"/>
      <c r="G60" s="193"/>
      <c r="H60" s="193"/>
      <c r="I60" s="194" t="n">
        <f aca="false">SUM(I57:I59)</f>
        <v>0</v>
      </c>
      <c r="J60" s="194" t="n">
        <f aca="false">SUM(J57:J59)</f>
        <v>1503.9636</v>
      </c>
      <c r="K60" s="195" t="n">
        <f aca="false">SUM(K57:K59)</f>
        <v>-1503.9636</v>
      </c>
      <c r="L60" s="196" t="str">
        <f aca="false">IFERROR(K60/I60,"")</f>
        <v/>
      </c>
    </row>
    <row r="61" customFormat="false" ht="15.75" hidden="false" customHeight="true" outlineLevel="0" collapsed="false">
      <c r="B61" s="38" t="n">
        <v>6</v>
      </c>
      <c r="C61" s="22" t="s">
        <v>319</v>
      </c>
      <c r="D61" s="75" t="s">
        <v>320</v>
      </c>
      <c r="E61" s="94" t="s">
        <v>318</v>
      </c>
      <c r="F61" s="178" t="n">
        <v>31</v>
      </c>
      <c r="G61" s="199" t="n">
        <f aca="false">IFERROR(Irraggiamento_PVGIS!E30,0)</f>
        <v>0</v>
      </c>
      <c r="H61" s="200" t="n">
        <f aca="false">IFERROR(VLOOKUP(C61,DB_Impianti!C:K,9,0),"")</f>
        <v>0</v>
      </c>
      <c r="I61" s="46" t="n">
        <f aca="false">IFERROR(G61*H61*Analisi_Perdite!C37/1000,"")</f>
        <v>0</v>
      </c>
      <c r="J61" s="26" t="n">
        <f aca="false">IFERROR(SUMIFS(Fonte_Dati!E:E,Fonte_Dati!D:D,C61,Fonte_Dati!C:C,"Gennaio")/1000,0)</f>
        <v>425.76024</v>
      </c>
      <c r="K61" s="197" t="n">
        <f aca="false">IFERROR(I61-J61,"")</f>
        <v>-425.76024</v>
      </c>
      <c r="L61" s="198" t="str">
        <f aca="false">IFERROR(K61/I61,"")</f>
        <v/>
      </c>
      <c r="M61" s="25" t="str">
        <f aca="false">IFERROR(IF(ABS(L61)&gt;0.2,"⚠ Alto",IF(ABS(L61)&gt;0.08,"⚡ Medio","✅ OK")),"—")</f>
        <v>—</v>
      </c>
    </row>
    <row r="62" customFormat="false" ht="15.75" hidden="false" customHeight="true" outlineLevel="0" collapsed="false">
      <c r="B62" s="38" t="n">
        <v>6</v>
      </c>
      <c r="C62" s="22" t="s">
        <v>319</v>
      </c>
      <c r="D62" s="75" t="s">
        <v>320</v>
      </c>
      <c r="E62" s="95" t="s">
        <v>337</v>
      </c>
      <c r="F62" s="178" t="n">
        <v>28</v>
      </c>
      <c r="G62" s="199" t="n">
        <f aca="false">IFERROR(Irraggiamento_PVGIS!F30,0)</f>
        <v>0</v>
      </c>
      <c r="H62" s="200" t="n">
        <f aca="false">IFERROR(VLOOKUP(C62,DB_Impianti!C:K,9,0),"")</f>
        <v>0</v>
      </c>
      <c r="I62" s="46" t="n">
        <f aca="false">IFERROR(G62*H62*Analisi_Perdite!C37/1000,"")</f>
        <v>0</v>
      </c>
      <c r="J62" s="26" t="n">
        <f aca="false">IFERROR(SUMIFS(Fonte_Dati!E:E,Fonte_Dati!D:D,C62,Fonte_Dati!C:C,"Febbraio")/1000,0)</f>
        <v>721.128240000005</v>
      </c>
      <c r="K62" s="197" t="n">
        <f aca="false">IFERROR(I62-J62,"")</f>
        <v>-721.128240000005</v>
      </c>
      <c r="L62" s="198" t="str">
        <f aca="false">IFERROR(K62/I62,"")</f>
        <v/>
      </c>
      <c r="M62" s="25" t="str">
        <f aca="false">IFERROR(IF(ABS(L62)&gt;0.2,"⚠ Alto",IF(ABS(L62)&gt;0.08,"⚡ Medio","✅ OK")),"—")</f>
        <v>—</v>
      </c>
    </row>
    <row r="63" customFormat="false" ht="15.75" hidden="false" customHeight="true" outlineLevel="0" collapsed="false">
      <c r="B63" s="38" t="n">
        <v>6</v>
      </c>
      <c r="C63" s="22" t="s">
        <v>319</v>
      </c>
      <c r="D63" s="75" t="s">
        <v>320</v>
      </c>
      <c r="E63" s="96" t="s">
        <v>338</v>
      </c>
      <c r="F63" s="178" t="n">
        <v>31</v>
      </c>
      <c r="G63" s="199" t="n">
        <f aca="false">IFERROR(Irraggiamento_PVGIS!G30,0)</f>
        <v>0</v>
      </c>
      <c r="H63" s="200" t="n">
        <f aca="false">IFERROR(VLOOKUP(C63,DB_Impianti!C:K,9,0),"")</f>
        <v>0</v>
      </c>
      <c r="I63" s="46" t="n">
        <f aca="false">IFERROR(G63*H63*Analisi_Perdite!C37/1000,"")</f>
        <v>0</v>
      </c>
      <c r="J63" s="26" t="n">
        <f aca="false">IFERROR(SUMIFS(Fonte_Dati!E:E,Fonte_Dati!D:D,C63,Fonte_Dati!C:C,"Marzo")/1000,0)</f>
        <v>0</v>
      </c>
      <c r="K63" s="197" t="n">
        <f aca="false">IFERROR(I63-J63,"")</f>
        <v>0</v>
      </c>
      <c r="L63" s="198" t="str">
        <f aca="false">IFERROR(K63/I63,"")</f>
        <v/>
      </c>
      <c r="M63" s="25" t="str">
        <f aca="false">IFERROR(IF(ABS(L63)&gt;0.2,"⚠ Alto",IF(ABS(L63)&gt;0.08,"⚡ Medio","✅ OK")),"—")</f>
        <v>—</v>
      </c>
    </row>
    <row r="64" customFormat="false" ht="18" hidden="false" customHeight="true" outlineLevel="0" collapsed="false">
      <c r="B64" s="193" t="s">
        <v>659</v>
      </c>
      <c r="C64" s="193"/>
      <c r="D64" s="193"/>
      <c r="E64" s="193"/>
      <c r="F64" s="193"/>
      <c r="G64" s="193"/>
      <c r="H64" s="193"/>
      <c r="I64" s="194" t="n">
        <f aca="false">SUM(I61:I63)</f>
        <v>0</v>
      </c>
      <c r="J64" s="194" t="n">
        <f aca="false">SUM(J61:J63)</f>
        <v>1146.88848000001</v>
      </c>
      <c r="K64" s="195" t="n">
        <f aca="false">SUM(K61:K63)</f>
        <v>-1146.88848000001</v>
      </c>
      <c r="L64" s="196" t="str">
        <f aca="false">IFERROR(K64/I64,"")</f>
        <v/>
      </c>
    </row>
    <row r="65" customFormat="false" ht="15.75" hidden="false" customHeight="true" outlineLevel="0" collapsed="false">
      <c r="B65" s="38" t="n">
        <v>7</v>
      </c>
      <c r="C65" s="22" t="s">
        <v>331</v>
      </c>
      <c r="D65" s="75" t="s">
        <v>320</v>
      </c>
      <c r="E65" s="94" t="s">
        <v>318</v>
      </c>
      <c r="F65" s="188" t="n">
        <v>31</v>
      </c>
      <c r="G65" s="199" t="n">
        <f aca="false">IFERROR(Irraggiamento_PVGIS!E41,0)</f>
        <v>0</v>
      </c>
      <c r="H65" s="200" t="n">
        <f aca="false">IFERROR(VLOOKUP(C65,DB_Impianti!C:K,9,0),"")</f>
        <v>0</v>
      </c>
      <c r="I65" s="46" t="n">
        <f aca="false">IFERROR(G65*H65*Analisi_Perdite!C37/1000,"")</f>
        <v>0</v>
      </c>
      <c r="J65" s="23" t="n">
        <f aca="false">IFERROR(SUMIFS(Fonte_Dati!E:E,Fonte_Dati!D:D,C65,Fonte_Dati!C:C,"Gennaio")/1000,0)</f>
        <v>356.199600000007</v>
      </c>
      <c r="K65" s="191" t="n">
        <f aca="false">IFERROR(I65-J65,"")</f>
        <v>-356.199600000007</v>
      </c>
      <c r="L65" s="192" t="str">
        <f aca="false">IFERROR(K65/I65,"")</f>
        <v/>
      </c>
      <c r="M65" s="21" t="str">
        <f aca="false">IFERROR(IF(ABS(L65)&gt;0.2,"⚠ Alto",IF(ABS(L65)&gt;0.08,"⚡ Medio","✅ OK")),"—")</f>
        <v>—</v>
      </c>
    </row>
    <row r="66" customFormat="false" ht="15.75" hidden="false" customHeight="true" outlineLevel="0" collapsed="false">
      <c r="B66" s="38" t="n">
        <v>7</v>
      </c>
      <c r="C66" s="22" t="s">
        <v>331</v>
      </c>
      <c r="D66" s="75" t="s">
        <v>320</v>
      </c>
      <c r="E66" s="95" t="s">
        <v>337</v>
      </c>
      <c r="F66" s="188" t="n">
        <v>28</v>
      </c>
      <c r="G66" s="199" t="n">
        <f aca="false">IFERROR(Irraggiamento_PVGIS!F41,0)</f>
        <v>0</v>
      </c>
      <c r="H66" s="200" t="n">
        <f aca="false">IFERROR(VLOOKUP(C66,DB_Impianti!C:K,9,0),"")</f>
        <v>0</v>
      </c>
      <c r="I66" s="46" t="n">
        <f aca="false">IFERROR(G66*H66*Analisi_Perdite!C37/1000,"")</f>
        <v>0</v>
      </c>
      <c r="J66" s="23" t="n">
        <f aca="false">IFERROR(SUMIFS(Fonte_Dati!E:E,Fonte_Dati!D:D,C66,Fonte_Dati!C:C,"Febbraio")/1000,0)</f>
        <v>430.929599999996</v>
      </c>
      <c r="K66" s="191" t="n">
        <f aca="false">IFERROR(I66-J66,"")</f>
        <v>-430.929599999996</v>
      </c>
      <c r="L66" s="192" t="str">
        <f aca="false">IFERROR(K66/I66,"")</f>
        <v/>
      </c>
      <c r="M66" s="21" t="str">
        <f aca="false">IFERROR(IF(ABS(L66)&gt;0.2,"⚠ Alto",IF(ABS(L66)&gt;0.08,"⚡ Medio","✅ OK")),"—")</f>
        <v>—</v>
      </c>
    </row>
    <row r="67" customFormat="false" ht="15.75" hidden="false" customHeight="true" outlineLevel="0" collapsed="false">
      <c r="B67" s="38" t="n">
        <v>7</v>
      </c>
      <c r="C67" s="22" t="s">
        <v>331</v>
      </c>
      <c r="D67" s="75" t="s">
        <v>320</v>
      </c>
      <c r="E67" s="96" t="s">
        <v>338</v>
      </c>
      <c r="F67" s="188" t="n">
        <v>31</v>
      </c>
      <c r="G67" s="199" t="n">
        <f aca="false">IFERROR(Irraggiamento_PVGIS!G41,0)</f>
        <v>0</v>
      </c>
      <c r="H67" s="200" t="n">
        <f aca="false">IFERROR(VLOOKUP(C67,DB_Impianti!C:K,9,0),"")</f>
        <v>0</v>
      </c>
      <c r="I67" s="46" t="n">
        <f aca="false">IFERROR(G67*H67*Analisi_Perdite!C37/1000,"")</f>
        <v>0</v>
      </c>
      <c r="J67" s="23" t="n">
        <f aca="false">IFERROR(SUMIFS(Fonte_Dati!E:E,Fonte_Dati!D:D,C67,Fonte_Dati!C:C,"Marzo")/1000,0)</f>
        <v>0</v>
      </c>
      <c r="K67" s="191" t="n">
        <f aca="false">IFERROR(I67-J67,"")</f>
        <v>0</v>
      </c>
      <c r="L67" s="192" t="str">
        <f aca="false">IFERROR(K67/I67,"")</f>
        <v/>
      </c>
      <c r="M67" s="21" t="str">
        <f aca="false">IFERROR(IF(ABS(L67)&gt;0.2,"⚠ Alto",IF(ABS(L67)&gt;0.08,"⚡ Medio","✅ OK")),"—")</f>
        <v>—</v>
      </c>
    </row>
    <row r="68" customFormat="false" ht="18" hidden="false" customHeight="true" outlineLevel="0" collapsed="false">
      <c r="B68" s="193" t="s">
        <v>660</v>
      </c>
      <c r="C68" s="193"/>
      <c r="D68" s="193"/>
      <c r="E68" s="193"/>
      <c r="F68" s="193"/>
      <c r="G68" s="193"/>
      <c r="H68" s="193"/>
      <c r="I68" s="194" t="n">
        <f aca="false">SUM(I65:I67)</f>
        <v>0</v>
      </c>
      <c r="J68" s="194" t="n">
        <f aca="false">SUM(J65:J67)</f>
        <v>787.129200000003</v>
      </c>
      <c r="K68" s="195" t="n">
        <f aca="false">SUM(K65:K67)</f>
        <v>-787.129200000003</v>
      </c>
      <c r="L68" s="196" t="str">
        <f aca="false">IFERROR(K68/I68,"")</f>
        <v/>
      </c>
    </row>
    <row r="69" customFormat="false" ht="15.75" hidden="false" customHeight="true" outlineLevel="0" collapsed="false">
      <c r="B69" s="38" t="n">
        <v>8</v>
      </c>
      <c r="C69" s="22" t="s">
        <v>330</v>
      </c>
      <c r="D69" s="75" t="s">
        <v>320</v>
      </c>
      <c r="E69" s="94" t="s">
        <v>318</v>
      </c>
      <c r="F69" s="178" t="n">
        <v>31</v>
      </c>
      <c r="G69" s="199" t="n">
        <f aca="false">IFERROR(Irraggiamento_PVGIS!E40,0)</f>
        <v>0</v>
      </c>
      <c r="H69" s="200" t="n">
        <f aca="false">IFERROR(VLOOKUP(C69,DB_Impianti!C:K,9,0),"")</f>
        <v>0</v>
      </c>
      <c r="I69" s="46" t="n">
        <f aca="false">IFERROR(G69*H69*Analisi_Perdite!C37/1000,"")</f>
        <v>0</v>
      </c>
      <c r="J69" s="26" t="n">
        <f aca="false">IFERROR(SUMIFS(Fonte_Dati!E:E,Fonte_Dati!D:D,C69,Fonte_Dati!C:C,"Gennaio")/1000,0)</f>
        <v>353.361600000007</v>
      </c>
      <c r="K69" s="197" t="n">
        <f aca="false">IFERROR(I69-J69,"")</f>
        <v>-353.361600000007</v>
      </c>
      <c r="L69" s="198" t="str">
        <f aca="false">IFERROR(K69/I69,"")</f>
        <v/>
      </c>
      <c r="M69" s="25" t="str">
        <f aca="false">IFERROR(IF(ABS(L69)&gt;0.2,"⚠ Alto",IF(ABS(L69)&gt;0.08,"⚡ Medio","✅ OK")),"—")</f>
        <v>—</v>
      </c>
    </row>
    <row r="70" customFormat="false" ht="15.75" hidden="false" customHeight="true" outlineLevel="0" collapsed="false">
      <c r="B70" s="38" t="n">
        <v>8</v>
      </c>
      <c r="C70" s="22" t="s">
        <v>330</v>
      </c>
      <c r="D70" s="75" t="s">
        <v>320</v>
      </c>
      <c r="E70" s="95" t="s">
        <v>337</v>
      </c>
      <c r="F70" s="178" t="n">
        <v>28</v>
      </c>
      <c r="G70" s="199" t="n">
        <f aca="false">IFERROR(Irraggiamento_PVGIS!F40,0)</f>
        <v>0</v>
      </c>
      <c r="H70" s="200" t="n">
        <f aca="false">IFERROR(VLOOKUP(C70,DB_Impianti!C:K,9,0),"")</f>
        <v>0</v>
      </c>
      <c r="I70" s="46" t="n">
        <f aca="false">IFERROR(G70*H70*Analisi_Perdite!C37/1000,"")</f>
        <v>0</v>
      </c>
      <c r="J70" s="26" t="n">
        <f aca="false">IFERROR(SUMIFS(Fonte_Dati!E:E,Fonte_Dati!D:D,C70,Fonte_Dati!C:C,"Febbraio")/1000,0)</f>
        <v>448.145999999988</v>
      </c>
      <c r="K70" s="197" t="n">
        <f aca="false">IFERROR(I70-J70,"")</f>
        <v>-448.145999999988</v>
      </c>
      <c r="L70" s="198" t="str">
        <f aca="false">IFERROR(K70/I70,"")</f>
        <v/>
      </c>
      <c r="M70" s="25" t="str">
        <f aca="false">IFERROR(IF(ABS(L70)&gt;0.2,"⚠ Alto",IF(ABS(L70)&gt;0.08,"⚡ Medio","✅ OK")),"—")</f>
        <v>—</v>
      </c>
    </row>
    <row r="71" customFormat="false" ht="15.75" hidden="false" customHeight="true" outlineLevel="0" collapsed="false">
      <c r="B71" s="38" t="n">
        <v>8</v>
      </c>
      <c r="C71" s="22" t="s">
        <v>330</v>
      </c>
      <c r="D71" s="75" t="s">
        <v>320</v>
      </c>
      <c r="E71" s="96" t="s">
        <v>338</v>
      </c>
      <c r="F71" s="178" t="n">
        <v>31</v>
      </c>
      <c r="G71" s="199" t="n">
        <f aca="false">IFERROR(Irraggiamento_PVGIS!G40,0)</f>
        <v>0</v>
      </c>
      <c r="H71" s="200" t="n">
        <f aca="false">IFERROR(VLOOKUP(C71,DB_Impianti!C:K,9,0),"")</f>
        <v>0</v>
      </c>
      <c r="I71" s="46" t="n">
        <f aca="false">IFERROR(G71*H71*Analisi_Perdite!C37/1000,"")</f>
        <v>0</v>
      </c>
      <c r="J71" s="26" t="n">
        <f aca="false">IFERROR(SUMIFS(Fonte_Dati!E:E,Fonte_Dati!D:D,C71,Fonte_Dati!C:C,"Marzo")/1000,0)</f>
        <v>0</v>
      </c>
      <c r="K71" s="197" t="n">
        <f aca="false">IFERROR(I71-J71,"")</f>
        <v>0</v>
      </c>
      <c r="L71" s="198" t="str">
        <f aca="false">IFERROR(K71/I71,"")</f>
        <v/>
      </c>
      <c r="M71" s="25" t="str">
        <f aca="false">IFERROR(IF(ABS(L71)&gt;0.2,"⚠ Alto",IF(ABS(L71)&gt;0.08,"⚡ Medio","✅ OK")),"—")</f>
        <v>—</v>
      </c>
    </row>
    <row r="72" customFormat="false" ht="18" hidden="false" customHeight="true" outlineLevel="0" collapsed="false">
      <c r="B72" s="193" t="s">
        <v>661</v>
      </c>
      <c r="C72" s="193"/>
      <c r="D72" s="193"/>
      <c r="E72" s="193"/>
      <c r="F72" s="193"/>
      <c r="G72" s="193"/>
      <c r="H72" s="193"/>
      <c r="I72" s="194" t="n">
        <f aca="false">SUM(I69:I71)</f>
        <v>0</v>
      </c>
      <c r="J72" s="194" t="n">
        <f aca="false">SUM(J69:J71)</f>
        <v>801.507599999995</v>
      </c>
      <c r="K72" s="195" t="n">
        <f aca="false">SUM(K69:K71)</f>
        <v>-801.507599999995</v>
      </c>
      <c r="L72" s="196" t="str">
        <f aca="false">IFERROR(K72/I72,"")</f>
        <v/>
      </c>
    </row>
    <row r="73" customFormat="false" ht="15.75" hidden="false" customHeight="true" outlineLevel="0" collapsed="false">
      <c r="B73" s="38" t="n">
        <v>9</v>
      </c>
      <c r="C73" s="22" t="s">
        <v>328</v>
      </c>
      <c r="D73" s="75" t="s">
        <v>320</v>
      </c>
      <c r="E73" s="94" t="s">
        <v>318</v>
      </c>
      <c r="F73" s="188" t="n">
        <v>31</v>
      </c>
      <c r="G73" s="199" t="n">
        <f aca="false">IFERROR(Irraggiamento_PVGIS!E38,0)</f>
        <v>0</v>
      </c>
      <c r="H73" s="200" t="n">
        <f aca="false">IFERROR(VLOOKUP(C73,DB_Impianti!C:K,9,0),"")</f>
        <v>0</v>
      </c>
      <c r="I73" s="46" t="n">
        <f aca="false">IFERROR(G73*H73*Analisi_Perdite!C37/1000,"")</f>
        <v>0</v>
      </c>
      <c r="J73" s="23" t="n">
        <f aca="false">IFERROR(SUMIFS(Fonte_Dati!E:E,Fonte_Dati!D:D,C73,Fonte_Dati!C:C,"Gennaio")/1000,0)</f>
        <v>209.75475</v>
      </c>
      <c r="K73" s="191" t="n">
        <f aca="false">IFERROR(I73-J73,"")</f>
        <v>-209.75475</v>
      </c>
      <c r="L73" s="192" t="str">
        <f aca="false">IFERROR(K73/I73,"")</f>
        <v/>
      </c>
      <c r="M73" s="21" t="str">
        <f aca="false">IFERROR(IF(ABS(L73)&gt;0.2,"⚠ Alto",IF(ABS(L73)&gt;0.08,"⚡ Medio","✅ OK")),"—")</f>
        <v>—</v>
      </c>
    </row>
    <row r="74" customFormat="false" ht="15.75" hidden="false" customHeight="true" outlineLevel="0" collapsed="false">
      <c r="B74" s="38" t="n">
        <v>9</v>
      </c>
      <c r="C74" s="22" t="s">
        <v>328</v>
      </c>
      <c r="D74" s="75" t="s">
        <v>320</v>
      </c>
      <c r="E74" s="95" t="s">
        <v>337</v>
      </c>
      <c r="F74" s="188" t="n">
        <v>28</v>
      </c>
      <c r="G74" s="199" t="n">
        <f aca="false">IFERROR(Irraggiamento_PVGIS!F38,0)</f>
        <v>0</v>
      </c>
      <c r="H74" s="200" t="n">
        <f aca="false">IFERROR(VLOOKUP(C74,DB_Impianti!C:K,9,0),"")</f>
        <v>0</v>
      </c>
      <c r="I74" s="46" t="n">
        <f aca="false">IFERROR(G74*H74*Analisi_Perdite!C37/1000,"")</f>
        <v>0</v>
      </c>
      <c r="J74" s="23" t="n">
        <f aca="false">IFERROR(SUMIFS(Fonte_Dati!E:E,Fonte_Dati!D:D,C74,Fonte_Dati!C:C,"Febbraio")/1000,0)</f>
        <v>311.66175</v>
      </c>
      <c r="K74" s="191" t="n">
        <f aca="false">IFERROR(I74-J74,"")</f>
        <v>-311.66175</v>
      </c>
      <c r="L74" s="192" t="str">
        <f aca="false">IFERROR(K74/I74,"")</f>
        <v/>
      </c>
      <c r="M74" s="21" t="str">
        <f aca="false">IFERROR(IF(ABS(L74)&gt;0.2,"⚠ Alto",IF(ABS(L74)&gt;0.08,"⚡ Medio","✅ OK")),"—")</f>
        <v>—</v>
      </c>
    </row>
    <row r="75" customFormat="false" ht="15.75" hidden="false" customHeight="true" outlineLevel="0" collapsed="false">
      <c r="B75" s="38" t="n">
        <v>9</v>
      </c>
      <c r="C75" s="22" t="s">
        <v>328</v>
      </c>
      <c r="D75" s="75" t="s">
        <v>320</v>
      </c>
      <c r="E75" s="96" t="s">
        <v>338</v>
      </c>
      <c r="F75" s="188" t="n">
        <v>31</v>
      </c>
      <c r="G75" s="199" t="n">
        <f aca="false">IFERROR(Irraggiamento_PVGIS!G38,0)</f>
        <v>0</v>
      </c>
      <c r="H75" s="200" t="n">
        <f aca="false">IFERROR(VLOOKUP(C75,DB_Impianti!C:K,9,0),"")</f>
        <v>0</v>
      </c>
      <c r="I75" s="46" t="n">
        <f aca="false">IFERROR(G75*H75*Analisi_Perdite!C37/1000,"")</f>
        <v>0</v>
      </c>
      <c r="J75" s="23" t="n">
        <f aca="false">IFERROR(SUMIFS(Fonte_Dati!E:E,Fonte_Dati!D:D,C75,Fonte_Dati!C:C,"Marzo")/1000,0)</f>
        <v>0</v>
      </c>
      <c r="K75" s="191" t="n">
        <f aca="false">IFERROR(I75-J75,"")</f>
        <v>0</v>
      </c>
      <c r="L75" s="192" t="str">
        <f aca="false">IFERROR(K75/I75,"")</f>
        <v/>
      </c>
      <c r="M75" s="21" t="str">
        <f aca="false">IFERROR(IF(ABS(L75)&gt;0.2,"⚠ Alto",IF(ABS(L75)&gt;0.08,"⚡ Medio","✅ OK")),"—")</f>
        <v>—</v>
      </c>
    </row>
    <row r="76" customFormat="false" ht="18" hidden="false" customHeight="true" outlineLevel="0" collapsed="false">
      <c r="B76" s="193" t="s">
        <v>662</v>
      </c>
      <c r="C76" s="193"/>
      <c r="D76" s="193"/>
      <c r="E76" s="193"/>
      <c r="F76" s="193"/>
      <c r="G76" s="193"/>
      <c r="H76" s="193"/>
      <c r="I76" s="194" t="n">
        <f aca="false">SUM(I73:I75)</f>
        <v>0</v>
      </c>
      <c r="J76" s="194" t="n">
        <f aca="false">SUM(J73:J75)</f>
        <v>521.4165</v>
      </c>
      <c r="K76" s="195" t="n">
        <f aca="false">SUM(K73:K75)</f>
        <v>-521.4165</v>
      </c>
      <c r="L76" s="196" t="str">
        <f aca="false">IFERROR(K76/I76,"")</f>
        <v/>
      </c>
    </row>
    <row r="77" customFormat="false" ht="15.75" hidden="false" customHeight="true" outlineLevel="0" collapsed="false">
      <c r="B77" s="38" t="n">
        <v>10</v>
      </c>
      <c r="C77" s="22" t="s">
        <v>329</v>
      </c>
      <c r="D77" s="75" t="s">
        <v>320</v>
      </c>
      <c r="E77" s="94" t="s">
        <v>318</v>
      </c>
      <c r="F77" s="178" t="n">
        <v>31</v>
      </c>
      <c r="G77" s="199" t="n">
        <f aca="false">IFERROR(Irraggiamento_PVGIS!E39,0)</f>
        <v>0</v>
      </c>
      <c r="H77" s="200" t="n">
        <f aca="false">IFERROR(VLOOKUP(C77,DB_Impianti!C:K,9,0),"")</f>
        <v>0</v>
      </c>
      <c r="I77" s="46" t="n">
        <f aca="false">IFERROR(G77*H77*Analisi_Perdite!C37/1000,"")</f>
        <v>0</v>
      </c>
      <c r="J77" s="26" t="n">
        <f aca="false">IFERROR(SUMIFS(Fonte_Dati!E:E,Fonte_Dati!D:D,C77,Fonte_Dati!C:C,"Gennaio")/1000,0)</f>
        <v>199.294559999995</v>
      </c>
      <c r="K77" s="197" t="n">
        <f aca="false">IFERROR(I77-J77,"")</f>
        <v>-199.294559999995</v>
      </c>
      <c r="L77" s="198" t="str">
        <f aca="false">IFERROR(K77/I77,"")</f>
        <v/>
      </c>
      <c r="M77" s="25" t="str">
        <f aca="false">IFERROR(IF(ABS(L77)&gt;0.2,"⚠ Alto",IF(ABS(L77)&gt;0.08,"⚡ Medio","✅ OK")),"—")</f>
        <v>—</v>
      </c>
    </row>
    <row r="78" customFormat="false" ht="15.75" hidden="false" customHeight="true" outlineLevel="0" collapsed="false">
      <c r="B78" s="38" t="n">
        <v>10</v>
      </c>
      <c r="C78" s="22" t="s">
        <v>329</v>
      </c>
      <c r="D78" s="75" t="s">
        <v>320</v>
      </c>
      <c r="E78" s="95" t="s">
        <v>337</v>
      </c>
      <c r="F78" s="178" t="n">
        <v>28</v>
      </c>
      <c r="G78" s="199" t="n">
        <f aca="false">IFERROR(Irraggiamento_PVGIS!F39,0)</f>
        <v>0</v>
      </c>
      <c r="H78" s="200" t="n">
        <f aca="false">IFERROR(VLOOKUP(C78,DB_Impianti!C:K,9,0),"")</f>
        <v>0</v>
      </c>
      <c r="I78" s="46" t="n">
        <f aca="false">IFERROR(G78*H78*Analisi_Perdite!C37/1000,"")</f>
        <v>0</v>
      </c>
      <c r="J78" s="26" t="n">
        <f aca="false">IFERROR(SUMIFS(Fonte_Dati!E:E,Fonte_Dati!D:D,C78,Fonte_Dati!C:C,"Febbraio")/1000,0)</f>
        <v>277.671520000004</v>
      </c>
      <c r="K78" s="197" t="n">
        <f aca="false">IFERROR(I78-J78,"")</f>
        <v>-277.671520000004</v>
      </c>
      <c r="L78" s="198" t="str">
        <f aca="false">IFERROR(K78/I78,"")</f>
        <v/>
      </c>
      <c r="M78" s="25" t="str">
        <f aca="false">IFERROR(IF(ABS(L78)&gt;0.2,"⚠ Alto",IF(ABS(L78)&gt;0.08,"⚡ Medio","✅ OK")),"—")</f>
        <v>—</v>
      </c>
    </row>
    <row r="79" customFormat="false" ht="15.75" hidden="false" customHeight="true" outlineLevel="0" collapsed="false">
      <c r="B79" s="38" t="n">
        <v>10</v>
      </c>
      <c r="C79" s="22" t="s">
        <v>329</v>
      </c>
      <c r="D79" s="75" t="s">
        <v>320</v>
      </c>
      <c r="E79" s="96" t="s">
        <v>338</v>
      </c>
      <c r="F79" s="178" t="n">
        <v>31</v>
      </c>
      <c r="G79" s="199" t="n">
        <f aca="false">IFERROR(Irraggiamento_PVGIS!G39,0)</f>
        <v>0</v>
      </c>
      <c r="H79" s="200" t="n">
        <f aca="false">IFERROR(VLOOKUP(C79,DB_Impianti!C:K,9,0),"")</f>
        <v>0</v>
      </c>
      <c r="I79" s="46" t="n">
        <f aca="false">IFERROR(G79*H79*Analisi_Perdite!C37/1000,"")</f>
        <v>0</v>
      </c>
      <c r="J79" s="26" t="n">
        <f aca="false">IFERROR(SUMIFS(Fonte_Dati!E:E,Fonte_Dati!D:D,C79,Fonte_Dati!C:C,"Marzo")/1000,0)</f>
        <v>0</v>
      </c>
      <c r="K79" s="197" t="n">
        <f aca="false">IFERROR(I79-J79,"")</f>
        <v>0</v>
      </c>
      <c r="L79" s="198" t="str">
        <f aca="false">IFERROR(K79/I79,"")</f>
        <v/>
      </c>
      <c r="M79" s="25" t="str">
        <f aca="false">IFERROR(IF(ABS(L79)&gt;0.2,"⚠ Alto",IF(ABS(L79)&gt;0.08,"⚡ Medio","✅ OK")),"—")</f>
        <v>—</v>
      </c>
    </row>
    <row r="80" customFormat="false" ht="18" hidden="false" customHeight="true" outlineLevel="0" collapsed="false">
      <c r="B80" s="193" t="s">
        <v>663</v>
      </c>
      <c r="C80" s="193"/>
      <c r="D80" s="193"/>
      <c r="E80" s="193"/>
      <c r="F80" s="193"/>
      <c r="G80" s="193"/>
      <c r="H80" s="193"/>
      <c r="I80" s="194" t="n">
        <f aca="false">SUM(I77:I79)</f>
        <v>0</v>
      </c>
      <c r="J80" s="194" t="n">
        <f aca="false">SUM(J77:J79)</f>
        <v>476.966079999999</v>
      </c>
      <c r="K80" s="195" t="n">
        <f aca="false">SUM(K77:K79)</f>
        <v>-476.966079999999</v>
      </c>
      <c r="L80" s="196" t="str">
        <f aca="false">IFERROR(K80/I80,"")</f>
        <v/>
      </c>
    </row>
    <row r="81" customFormat="false" ht="15.75" hidden="false" customHeight="true" outlineLevel="0" collapsed="false">
      <c r="B81" s="38" t="n">
        <v>11</v>
      </c>
      <c r="C81" s="22" t="s">
        <v>324</v>
      </c>
      <c r="D81" s="75" t="s">
        <v>320</v>
      </c>
      <c r="E81" s="94" t="s">
        <v>318</v>
      </c>
      <c r="F81" s="188" t="n">
        <v>31</v>
      </c>
      <c r="G81" s="199" t="n">
        <f aca="false">IFERROR(Irraggiamento_PVGIS!E34,0)</f>
        <v>0</v>
      </c>
      <c r="H81" s="200" t="n">
        <f aca="false">IFERROR(VLOOKUP(C81,DB_Impianti!C:K,9,0),"")</f>
        <v>0</v>
      </c>
      <c r="I81" s="46" t="n">
        <f aca="false">IFERROR(G81*H81*Analisi_Perdite!C37/1000,"")</f>
        <v>0</v>
      </c>
      <c r="J81" s="23" t="n">
        <f aca="false">IFERROR(SUMIFS(Fonte_Dati!E:E,Fonte_Dati!D:D,C81,Fonte_Dati!C:C,"Gennaio")/1000,0)</f>
        <v>111.376125</v>
      </c>
      <c r="K81" s="191" t="n">
        <f aca="false">IFERROR(I81-J81,"")</f>
        <v>-111.376125</v>
      </c>
      <c r="L81" s="192" t="str">
        <f aca="false">IFERROR(K81/I81,"")</f>
        <v/>
      </c>
      <c r="M81" s="21" t="str">
        <f aca="false">IFERROR(IF(ABS(L81)&gt;0.2,"⚠ Alto",IF(ABS(L81)&gt;0.08,"⚡ Medio","✅ OK")),"—")</f>
        <v>—</v>
      </c>
    </row>
    <row r="82" customFormat="false" ht="15.75" hidden="false" customHeight="true" outlineLevel="0" collapsed="false">
      <c r="B82" s="38" t="n">
        <v>11</v>
      </c>
      <c r="C82" s="22" t="s">
        <v>324</v>
      </c>
      <c r="D82" s="75" t="s">
        <v>320</v>
      </c>
      <c r="E82" s="95" t="s">
        <v>337</v>
      </c>
      <c r="F82" s="188" t="n">
        <v>28</v>
      </c>
      <c r="G82" s="199" t="n">
        <f aca="false">IFERROR(Irraggiamento_PVGIS!F34,0)</f>
        <v>0</v>
      </c>
      <c r="H82" s="200" t="n">
        <f aca="false">IFERROR(VLOOKUP(C82,DB_Impianti!C:K,9,0),"")</f>
        <v>0</v>
      </c>
      <c r="I82" s="46" t="n">
        <f aca="false">IFERROR(G82*H82*Analisi_Perdite!C37/1000,"")</f>
        <v>0</v>
      </c>
      <c r="J82" s="23" t="n">
        <f aca="false">IFERROR(SUMIFS(Fonte_Dati!E:E,Fonte_Dati!D:D,C82,Fonte_Dati!C:C,"Febbraio")/1000,0)</f>
        <v>214.7997</v>
      </c>
      <c r="K82" s="191" t="n">
        <f aca="false">IFERROR(I82-J82,"")</f>
        <v>-214.7997</v>
      </c>
      <c r="L82" s="192" t="str">
        <f aca="false">IFERROR(K82/I82,"")</f>
        <v/>
      </c>
      <c r="M82" s="21" t="str">
        <f aca="false">IFERROR(IF(ABS(L82)&gt;0.2,"⚠ Alto",IF(ABS(L82)&gt;0.08,"⚡ Medio","✅ OK")),"—")</f>
        <v>—</v>
      </c>
    </row>
    <row r="83" customFormat="false" ht="15.75" hidden="false" customHeight="true" outlineLevel="0" collapsed="false">
      <c r="B83" s="38" t="n">
        <v>11</v>
      </c>
      <c r="C83" s="22" t="s">
        <v>324</v>
      </c>
      <c r="D83" s="75" t="s">
        <v>320</v>
      </c>
      <c r="E83" s="96" t="s">
        <v>338</v>
      </c>
      <c r="F83" s="188" t="n">
        <v>31</v>
      </c>
      <c r="G83" s="199" t="n">
        <f aca="false">IFERROR(Irraggiamento_PVGIS!G34,0)</f>
        <v>0</v>
      </c>
      <c r="H83" s="200" t="n">
        <f aca="false">IFERROR(VLOOKUP(C83,DB_Impianti!C:K,9,0),"")</f>
        <v>0</v>
      </c>
      <c r="I83" s="46" t="n">
        <f aca="false">IFERROR(G83*H83*Analisi_Perdite!C37/1000,"")</f>
        <v>0</v>
      </c>
      <c r="J83" s="23" t="n">
        <f aca="false">IFERROR(SUMIFS(Fonte_Dati!E:E,Fonte_Dati!D:D,C83,Fonte_Dati!C:C,"Marzo")/1000,0)</f>
        <v>0</v>
      </c>
      <c r="K83" s="191" t="n">
        <f aca="false">IFERROR(I83-J83,"")</f>
        <v>0</v>
      </c>
      <c r="L83" s="192" t="str">
        <f aca="false">IFERROR(K83/I83,"")</f>
        <v/>
      </c>
      <c r="M83" s="21" t="str">
        <f aca="false">IFERROR(IF(ABS(L83)&gt;0.2,"⚠ Alto",IF(ABS(L83)&gt;0.08,"⚡ Medio","✅ OK")),"—")</f>
        <v>—</v>
      </c>
    </row>
    <row r="84" customFormat="false" ht="18" hidden="false" customHeight="true" outlineLevel="0" collapsed="false">
      <c r="B84" s="193" t="s">
        <v>664</v>
      </c>
      <c r="C84" s="193"/>
      <c r="D84" s="193"/>
      <c r="E84" s="193"/>
      <c r="F84" s="193"/>
      <c r="G84" s="193"/>
      <c r="H84" s="193"/>
      <c r="I84" s="194" t="n">
        <f aca="false">SUM(I81:I83)</f>
        <v>0</v>
      </c>
      <c r="J84" s="194" t="n">
        <f aca="false">SUM(J81:J83)</f>
        <v>326.175825</v>
      </c>
      <c r="K84" s="195" t="n">
        <f aca="false">SUM(K81:K83)</f>
        <v>-326.175825</v>
      </c>
      <c r="L84" s="196" t="str">
        <f aca="false">IFERROR(K84/I84,"")</f>
        <v/>
      </c>
    </row>
    <row r="85" customFormat="false" ht="15.75" hidden="false" customHeight="true" outlineLevel="0" collapsed="false">
      <c r="B85" s="38" t="n">
        <v>12</v>
      </c>
      <c r="C85" s="22" t="s">
        <v>325</v>
      </c>
      <c r="D85" s="75" t="s">
        <v>320</v>
      </c>
      <c r="E85" s="94" t="s">
        <v>318</v>
      </c>
      <c r="F85" s="178" t="n">
        <v>31</v>
      </c>
      <c r="G85" s="199" t="n">
        <f aca="false">IFERROR(Irraggiamento_PVGIS!E35,0)</f>
        <v>0</v>
      </c>
      <c r="H85" s="200" t="n">
        <f aca="false">IFERROR(VLOOKUP(C85,DB_Impianti!C:K,9,0),"")</f>
        <v>0</v>
      </c>
      <c r="I85" s="46" t="n">
        <f aca="false">IFERROR(G85*H85*Analisi_Perdite!C37/1000,"")</f>
        <v>0</v>
      </c>
      <c r="J85" s="26" t="n">
        <f aca="false">IFERROR(SUMIFS(Fonte_Dati!E:E,Fonte_Dati!D:D,C85,Fonte_Dati!C:C,"Gennaio")/1000,0)</f>
        <v>112.069200000002</v>
      </c>
      <c r="K85" s="197" t="n">
        <f aca="false">IFERROR(I85-J85,"")</f>
        <v>-112.069200000002</v>
      </c>
      <c r="L85" s="198" t="str">
        <f aca="false">IFERROR(K85/I85,"")</f>
        <v/>
      </c>
      <c r="M85" s="25" t="str">
        <f aca="false">IFERROR(IF(ABS(L85)&gt;0.2,"⚠ Alto",IF(ABS(L85)&gt;0.08,"⚡ Medio","✅ OK")),"—")</f>
        <v>—</v>
      </c>
    </row>
    <row r="86" customFormat="false" ht="15.75" hidden="false" customHeight="true" outlineLevel="0" collapsed="false">
      <c r="B86" s="38" t="n">
        <v>12</v>
      </c>
      <c r="C86" s="22" t="s">
        <v>325</v>
      </c>
      <c r="D86" s="75" t="s">
        <v>320</v>
      </c>
      <c r="E86" s="95" t="s">
        <v>337</v>
      </c>
      <c r="F86" s="178" t="n">
        <v>28</v>
      </c>
      <c r="G86" s="199" t="n">
        <f aca="false">IFERROR(Irraggiamento_PVGIS!F35,0)</f>
        <v>0</v>
      </c>
      <c r="H86" s="200" t="n">
        <f aca="false">IFERROR(VLOOKUP(C86,DB_Impianti!C:K,9,0),"")</f>
        <v>0</v>
      </c>
      <c r="I86" s="46" t="n">
        <f aca="false">IFERROR(G86*H86*Analisi_Perdite!C37/1000,"")</f>
        <v>0</v>
      </c>
      <c r="J86" s="26" t="n">
        <f aca="false">IFERROR(SUMIFS(Fonte_Dati!E:E,Fonte_Dati!D:D,C86,Fonte_Dati!C:C,"Febbraio")/1000,0)</f>
        <v>208.407840000004</v>
      </c>
      <c r="K86" s="197" t="n">
        <f aca="false">IFERROR(I86-J86,"")</f>
        <v>-208.407840000004</v>
      </c>
      <c r="L86" s="198" t="str">
        <f aca="false">IFERROR(K86/I86,"")</f>
        <v/>
      </c>
      <c r="M86" s="25" t="str">
        <f aca="false">IFERROR(IF(ABS(L86)&gt;0.2,"⚠ Alto",IF(ABS(L86)&gt;0.08,"⚡ Medio","✅ OK")),"—")</f>
        <v>—</v>
      </c>
    </row>
    <row r="87" customFormat="false" ht="15.75" hidden="false" customHeight="true" outlineLevel="0" collapsed="false">
      <c r="B87" s="38" t="n">
        <v>12</v>
      </c>
      <c r="C87" s="22" t="s">
        <v>325</v>
      </c>
      <c r="D87" s="75" t="s">
        <v>320</v>
      </c>
      <c r="E87" s="96" t="s">
        <v>338</v>
      </c>
      <c r="F87" s="178" t="n">
        <v>31</v>
      </c>
      <c r="G87" s="199" t="n">
        <f aca="false">IFERROR(Irraggiamento_PVGIS!G35,0)</f>
        <v>0</v>
      </c>
      <c r="H87" s="200" t="n">
        <f aca="false">IFERROR(VLOOKUP(C87,DB_Impianti!C:K,9,0),"")</f>
        <v>0</v>
      </c>
      <c r="I87" s="46" t="n">
        <f aca="false">IFERROR(G87*H87*Analisi_Perdite!C37/1000,"")</f>
        <v>0</v>
      </c>
      <c r="J87" s="26" t="n">
        <f aca="false">IFERROR(SUMIFS(Fonte_Dati!E:E,Fonte_Dati!D:D,C87,Fonte_Dati!C:C,"Marzo")/1000,0)</f>
        <v>0</v>
      </c>
      <c r="K87" s="197" t="n">
        <f aca="false">IFERROR(I87-J87,"")</f>
        <v>0</v>
      </c>
      <c r="L87" s="198" t="str">
        <f aca="false">IFERROR(K87/I87,"")</f>
        <v/>
      </c>
      <c r="M87" s="25" t="str">
        <f aca="false">IFERROR(IF(ABS(L87)&gt;0.2,"⚠ Alto",IF(ABS(L87)&gt;0.08,"⚡ Medio","✅ OK")),"—")</f>
        <v>—</v>
      </c>
    </row>
    <row r="88" customFormat="false" ht="18" hidden="false" customHeight="true" outlineLevel="0" collapsed="false">
      <c r="B88" s="193" t="s">
        <v>665</v>
      </c>
      <c r="C88" s="193"/>
      <c r="D88" s="193"/>
      <c r="E88" s="193"/>
      <c r="F88" s="193"/>
      <c r="G88" s="193"/>
      <c r="H88" s="193"/>
      <c r="I88" s="194" t="n">
        <f aca="false">SUM(I85:I87)</f>
        <v>0</v>
      </c>
      <c r="J88" s="194" t="n">
        <f aca="false">SUM(J85:J87)</f>
        <v>320.477040000006</v>
      </c>
      <c r="K88" s="195" t="n">
        <f aca="false">SUM(K85:K87)</f>
        <v>-320.477040000006</v>
      </c>
      <c r="L88" s="196" t="str">
        <f aca="false">IFERROR(K88/I88,"")</f>
        <v/>
      </c>
    </row>
    <row r="89" customFormat="false" ht="15.75" hidden="false" customHeight="true" outlineLevel="0" collapsed="false">
      <c r="B89" s="38" t="n">
        <v>13</v>
      </c>
      <c r="C89" s="22" t="s">
        <v>327</v>
      </c>
      <c r="D89" s="75" t="s">
        <v>320</v>
      </c>
      <c r="E89" s="94" t="s">
        <v>318</v>
      </c>
      <c r="F89" s="188" t="n">
        <v>31</v>
      </c>
      <c r="G89" s="199" t="n">
        <f aca="false">IFERROR(Irraggiamento_PVGIS!E37,0)</f>
        <v>0</v>
      </c>
      <c r="H89" s="200" t="n">
        <f aca="false">IFERROR(VLOOKUP(C89,DB_Impianti!C:K,9,0),"")</f>
        <v>0</v>
      </c>
      <c r="I89" s="46" t="n">
        <f aca="false">IFERROR(G89*H89*Analisi_Perdite!C37/1000,"")</f>
        <v>0</v>
      </c>
      <c r="J89" s="23" t="n">
        <f aca="false">IFERROR(SUMIFS(Fonte_Dati!E:E,Fonte_Dati!D:D,C89,Fonte_Dati!C:C,"Gennaio")/1000,0)</f>
        <v>76.1901599999965</v>
      </c>
      <c r="K89" s="191" t="n">
        <f aca="false">IFERROR(I89-J89,"")</f>
        <v>-76.1901599999965</v>
      </c>
      <c r="L89" s="192" t="str">
        <f aca="false">IFERROR(K89/I89,"")</f>
        <v/>
      </c>
      <c r="M89" s="21" t="str">
        <f aca="false">IFERROR(IF(ABS(L89)&gt;0.2,"⚠ Alto",IF(ABS(L89)&gt;0.08,"⚡ Medio","✅ OK")),"—")</f>
        <v>—</v>
      </c>
    </row>
    <row r="90" customFormat="false" ht="15.75" hidden="false" customHeight="true" outlineLevel="0" collapsed="false">
      <c r="B90" s="38" t="n">
        <v>13</v>
      </c>
      <c r="C90" s="22" t="s">
        <v>327</v>
      </c>
      <c r="D90" s="75" t="s">
        <v>320</v>
      </c>
      <c r="E90" s="95" t="s">
        <v>337</v>
      </c>
      <c r="F90" s="188" t="n">
        <v>28</v>
      </c>
      <c r="G90" s="199" t="n">
        <f aca="false">IFERROR(Irraggiamento_PVGIS!F37,0)</f>
        <v>0</v>
      </c>
      <c r="H90" s="200" t="n">
        <f aca="false">IFERROR(VLOOKUP(C90,DB_Impianti!C:K,9,0),"")</f>
        <v>0</v>
      </c>
      <c r="I90" s="46" t="n">
        <f aca="false">IFERROR(G90*H90*Analisi_Perdite!C37/1000,"")</f>
        <v>0</v>
      </c>
      <c r="J90" s="23" t="n">
        <f aca="false">IFERROR(SUMIFS(Fonte_Dati!E:E,Fonte_Dati!D:D,C90,Fonte_Dati!C:C,"Febbraio")/1000,0)</f>
        <v>0</v>
      </c>
      <c r="K90" s="191" t="n">
        <f aca="false">IFERROR(I90-J90,"")</f>
        <v>0</v>
      </c>
      <c r="L90" s="192" t="str">
        <f aca="false">IFERROR(K90/I90,"")</f>
        <v/>
      </c>
      <c r="M90" s="21" t="str">
        <f aca="false">IFERROR(IF(ABS(L90)&gt;0.2,"⚠ Alto",IF(ABS(L90)&gt;0.08,"⚡ Medio","✅ OK")),"—")</f>
        <v>—</v>
      </c>
    </row>
    <row r="91" customFormat="false" ht="15.75" hidden="false" customHeight="true" outlineLevel="0" collapsed="false">
      <c r="B91" s="38" t="n">
        <v>13</v>
      </c>
      <c r="C91" s="22" t="s">
        <v>327</v>
      </c>
      <c r="D91" s="75" t="s">
        <v>320</v>
      </c>
      <c r="E91" s="96" t="s">
        <v>338</v>
      </c>
      <c r="F91" s="188" t="n">
        <v>31</v>
      </c>
      <c r="G91" s="199" t="n">
        <f aca="false">IFERROR(Irraggiamento_PVGIS!G37,0)</f>
        <v>0</v>
      </c>
      <c r="H91" s="200" t="n">
        <f aca="false">IFERROR(VLOOKUP(C91,DB_Impianti!C:K,9,0),"")</f>
        <v>0</v>
      </c>
      <c r="I91" s="46" t="n">
        <f aca="false">IFERROR(G91*H91*Analisi_Perdite!C37/1000,"")</f>
        <v>0</v>
      </c>
      <c r="J91" s="23" t="n">
        <f aca="false">IFERROR(SUMIFS(Fonte_Dati!E:E,Fonte_Dati!D:D,C91,Fonte_Dati!C:C,"Marzo")/1000,0)</f>
        <v>0</v>
      </c>
      <c r="K91" s="191" t="n">
        <f aca="false">IFERROR(I91-J91,"")</f>
        <v>0</v>
      </c>
      <c r="L91" s="192" t="str">
        <f aca="false">IFERROR(K91/I91,"")</f>
        <v/>
      </c>
      <c r="M91" s="21" t="str">
        <f aca="false">IFERROR(IF(ABS(L91)&gt;0.2,"⚠ Alto",IF(ABS(L91)&gt;0.08,"⚡ Medio","✅ OK")),"—")</f>
        <v>—</v>
      </c>
    </row>
    <row r="92" customFormat="false" ht="18" hidden="false" customHeight="true" outlineLevel="0" collapsed="false">
      <c r="B92" s="193" t="s">
        <v>666</v>
      </c>
      <c r="C92" s="193"/>
      <c r="D92" s="193"/>
      <c r="E92" s="193"/>
      <c r="F92" s="193"/>
      <c r="G92" s="193"/>
      <c r="H92" s="193"/>
      <c r="I92" s="194" t="n">
        <f aca="false">SUM(I89:I91)</f>
        <v>0</v>
      </c>
      <c r="J92" s="194" t="n">
        <f aca="false">SUM(J89:J91)</f>
        <v>76.1901599999965</v>
      </c>
      <c r="K92" s="195" t="n">
        <f aca="false">SUM(K89:K91)</f>
        <v>-76.1901599999965</v>
      </c>
      <c r="L92" s="196" t="str">
        <f aca="false">IFERROR(K92/I92,"")</f>
        <v/>
      </c>
    </row>
    <row r="93" customFormat="false" ht="15.75" hidden="false" customHeight="true" outlineLevel="0" collapsed="false">
      <c r="B93" s="38" t="n">
        <v>14</v>
      </c>
      <c r="C93" s="22" t="s">
        <v>326</v>
      </c>
      <c r="D93" s="75" t="s">
        <v>320</v>
      </c>
      <c r="E93" s="94" t="s">
        <v>318</v>
      </c>
      <c r="F93" s="178" t="n">
        <v>31</v>
      </c>
      <c r="G93" s="199" t="n">
        <f aca="false">IFERROR(Irraggiamento_PVGIS!E36,0)</f>
        <v>0</v>
      </c>
      <c r="H93" s="200" t="n">
        <f aca="false">IFERROR(VLOOKUP(C93,DB_Impianti!C:K,9,0),"")</f>
        <v>0</v>
      </c>
      <c r="I93" s="46" t="n">
        <f aca="false">IFERROR(G93*H93*Analisi_Perdite!C37/1000,"")</f>
        <v>0</v>
      </c>
      <c r="J93" s="26" t="n">
        <f aca="false">IFERROR(SUMIFS(Fonte_Dati!E:E,Fonte_Dati!D:D,C93,Fonte_Dati!C:C,"Gennaio")/1000,0)</f>
        <v>33.2096999999999</v>
      </c>
      <c r="K93" s="197" t="n">
        <f aca="false">IFERROR(I93-J93,"")</f>
        <v>-33.2096999999999</v>
      </c>
      <c r="L93" s="198" t="str">
        <f aca="false">IFERROR(K93/I93,"")</f>
        <v/>
      </c>
      <c r="M93" s="25" t="str">
        <f aca="false">IFERROR(IF(ABS(L93)&gt;0.2,"⚠ Alto",IF(ABS(L93)&gt;0.08,"⚡ Medio","✅ OK")),"—")</f>
        <v>—</v>
      </c>
    </row>
    <row r="94" customFormat="false" ht="15.75" hidden="false" customHeight="true" outlineLevel="0" collapsed="false">
      <c r="B94" s="38" t="n">
        <v>14</v>
      </c>
      <c r="C94" s="22" t="s">
        <v>326</v>
      </c>
      <c r="D94" s="75" t="s">
        <v>320</v>
      </c>
      <c r="E94" s="95" t="s">
        <v>337</v>
      </c>
      <c r="F94" s="178" t="n">
        <v>28</v>
      </c>
      <c r="G94" s="199" t="n">
        <f aca="false">IFERROR(Irraggiamento_PVGIS!F36,0)</f>
        <v>0</v>
      </c>
      <c r="H94" s="200" t="n">
        <f aca="false">IFERROR(VLOOKUP(C94,DB_Impianti!C:K,9,0),"")</f>
        <v>0</v>
      </c>
      <c r="I94" s="46" t="n">
        <f aca="false">IFERROR(G94*H94*Analisi_Perdite!C37/1000,"")</f>
        <v>0</v>
      </c>
      <c r="J94" s="26" t="n">
        <f aca="false">IFERROR(SUMIFS(Fonte_Dati!E:E,Fonte_Dati!D:D,C94,Fonte_Dati!C:C,"Febbraio")/1000,0)</f>
        <v>45.3068400000002</v>
      </c>
      <c r="K94" s="197" t="n">
        <f aca="false">IFERROR(I94-J94,"")</f>
        <v>-45.3068400000002</v>
      </c>
      <c r="L94" s="198" t="str">
        <f aca="false">IFERROR(K94/I94,"")</f>
        <v/>
      </c>
      <c r="M94" s="25" t="str">
        <f aca="false">IFERROR(IF(ABS(L94)&gt;0.2,"⚠ Alto",IF(ABS(L94)&gt;0.08,"⚡ Medio","✅ OK")),"—")</f>
        <v>—</v>
      </c>
    </row>
    <row r="95" customFormat="false" ht="15.75" hidden="false" customHeight="true" outlineLevel="0" collapsed="false">
      <c r="B95" s="38" t="n">
        <v>14</v>
      </c>
      <c r="C95" s="22" t="s">
        <v>326</v>
      </c>
      <c r="D95" s="75" t="s">
        <v>320</v>
      </c>
      <c r="E95" s="96" t="s">
        <v>338</v>
      </c>
      <c r="F95" s="178" t="n">
        <v>31</v>
      </c>
      <c r="G95" s="199" t="n">
        <f aca="false">IFERROR(Irraggiamento_PVGIS!G36,0)</f>
        <v>0</v>
      </c>
      <c r="H95" s="200" t="n">
        <f aca="false">IFERROR(VLOOKUP(C95,DB_Impianti!C:K,9,0),"")</f>
        <v>0</v>
      </c>
      <c r="I95" s="46" t="n">
        <f aca="false">IFERROR(G95*H95*Analisi_Perdite!C37/1000,"")</f>
        <v>0</v>
      </c>
      <c r="J95" s="26" t="n">
        <f aca="false">IFERROR(SUMIFS(Fonte_Dati!E:E,Fonte_Dati!D:D,C95,Fonte_Dati!C:C,"Marzo")/1000,0)</f>
        <v>0</v>
      </c>
      <c r="K95" s="197" t="n">
        <f aca="false">IFERROR(I95-J95,"")</f>
        <v>0</v>
      </c>
      <c r="L95" s="198" t="str">
        <f aca="false">IFERROR(K95/I95,"")</f>
        <v/>
      </c>
      <c r="M95" s="25" t="str">
        <f aca="false">IFERROR(IF(ABS(L95)&gt;0.2,"⚠ Alto",IF(ABS(L95)&gt;0.08,"⚡ Medio","✅ OK")),"—")</f>
        <v>—</v>
      </c>
    </row>
    <row r="96" customFormat="false" ht="18" hidden="false" customHeight="true" outlineLevel="0" collapsed="false">
      <c r="B96" s="193" t="s">
        <v>667</v>
      </c>
      <c r="C96" s="193"/>
      <c r="D96" s="193"/>
      <c r="E96" s="193"/>
      <c r="F96" s="193"/>
      <c r="G96" s="193"/>
      <c r="H96" s="193"/>
      <c r="I96" s="194" t="n">
        <f aca="false">SUM(I93:I95)</f>
        <v>0</v>
      </c>
      <c r="J96" s="194" t="n">
        <f aca="false">SUM(J93:J95)</f>
        <v>78.5165400000001</v>
      </c>
      <c r="K96" s="195" t="n">
        <f aca="false">SUM(K93:K95)</f>
        <v>-78.5165400000001</v>
      </c>
      <c r="L96" s="196" t="str">
        <f aca="false">IFERROR(K96/I96,"")</f>
        <v/>
      </c>
    </row>
    <row r="97" customFormat="false" ht="15.75" hidden="false" customHeight="true" outlineLevel="0" collapsed="false">
      <c r="B97" s="38" t="n">
        <v>15</v>
      </c>
      <c r="C97" s="22" t="s">
        <v>321</v>
      </c>
      <c r="D97" s="75" t="s">
        <v>320</v>
      </c>
      <c r="E97" s="94" t="s">
        <v>318</v>
      </c>
      <c r="F97" s="188" t="n">
        <v>31</v>
      </c>
      <c r="G97" s="199" t="n">
        <f aca="false">IFERROR(Irraggiamento_PVGIS!E31,0)</f>
        <v>0</v>
      </c>
      <c r="H97" s="200" t="n">
        <f aca="false">IFERROR(VLOOKUP(C97,DB_Impianti!C:K,9,0),"")</f>
        <v>0</v>
      </c>
      <c r="I97" s="46" t="n">
        <f aca="false">IFERROR(G97*H97*Analisi_Perdite!C37/1000,"")</f>
        <v>0</v>
      </c>
      <c r="J97" s="23" t="n">
        <f aca="false">IFERROR(SUMIFS(Fonte_Dati!E:E,Fonte_Dati!D:D,C97,Fonte_Dati!C:C,"Gennaio")/1000,0)</f>
        <v>24.2952399999995</v>
      </c>
      <c r="K97" s="191" t="n">
        <f aca="false">IFERROR(I97-J97,"")</f>
        <v>-24.2952399999995</v>
      </c>
      <c r="L97" s="192" t="str">
        <f aca="false">IFERROR(K97/I97,"")</f>
        <v/>
      </c>
      <c r="M97" s="21" t="str">
        <f aca="false">IFERROR(IF(ABS(L97)&gt;0.2,"⚠ Alto",IF(ABS(L97)&gt;0.08,"⚡ Medio","✅ OK")),"—")</f>
        <v>—</v>
      </c>
    </row>
    <row r="98" customFormat="false" ht="15.75" hidden="false" customHeight="true" outlineLevel="0" collapsed="false">
      <c r="B98" s="38" t="n">
        <v>15</v>
      </c>
      <c r="C98" s="22" t="s">
        <v>321</v>
      </c>
      <c r="D98" s="75" t="s">
        <v>320</v>
      </c>
      <c r="E98" s="95" t="s">
        <v>337</v>
      </c>
      <c r="F98" s="188" t="n">
        <v>28</v>
      </c>
      <c r="G98" s="199" t="n">
        <f aca="false">IFERROR(Irraggiamento_PVGIS!F31,0)</f>
        <v>0</v>
      </c>
      <c r="H98" s="200" t="n">
        <f aca="false">IFERROR(VLOOKUP(C98,DB_Impianti!C:K,9,0),"")</f>
        <v>0</v>
      </c>
      <c r="I98" s="46" t="n">
        <f aca="false">IFERROR(G98*H98*Analisi_Perdite!C37/1000,"")</f>
        <v>0</v>
      </c>
      <c r="J98" s="23" t="n">
        <f aca="false">IFERROR(SUMIFS(Fonte_Dati!E:E,Fonte_Dati!D:D,C98,Fonte_Dati!C:C,"Febbraio")/1000,0)</f>
        <v>46.4066800000001</v>
      </c>
      <c r="K98" s="191" t="n">
        <f aca="false">IFERROR(I98-J98,"")</f>
        <v>-46.4066800000001</v>
      </c>
      <c r="L98" s="192" t="str">
        <f aca="false">IFERROR(K98/I98,"")</f>
        <v/>
      </c>
      <c r="M98" s="21" t="str">
        <f aca="false">IFERROR(IF(ABS(L98)&gt;0.2,"⚠ Alto",IF(ABS(L98)&gt;0.08,"⚡ Medio","✅ OK")),"—")</f>
        <v>—</v>
      </c>
    </row>
    <row r="99" customFormat="false" ht="15.75" hidden="false" customHeight="true" outlineLevel="0" collapsed="false">
      <c r="B99" s="38" t="n">
        <v>15</v>
      </c>
      <c r="C99" s="22" t="s">
        <v>321</v>
      </c>
      <c r="D99" s="75" t="s">
        <v>320</v>
      </c>
      <c r="E99" s="96" t="s">
        <v>338</v>
      </c>
      <c r="F99" s="188" t="n">
        <v>31</v>
      </c>
      <c r="G99" s="199" t="n">
        <f aca="false">IFERROR(Irraggiamento_PVGIS!G31,0)</f>
        <v>0</v>
      </c>
      <c r="H99" s="200" t="n">
        <f aca="false">IFERROR(VLOOKUP(C99,DB_Impianti!C:K,9,0),"")</f>
        <v>0</v>
      </c>
      <c r="I99" s="46" t="n">
        <f aca="false">IFERROR(G99*H99*Analisi_Perdite!C37/1000,"")</f>
        <v>0</v>
      </c>
      <c r="J99" s="23" t="n">
        <f aca="false">IFERROR(SUMIFS(Fonte_Dati!E:E,Fonte_Dati!D:D,C99,Fonte_Dati!C:C,"Marzo")/1000,0)</f>
        <v>0</v>
      </c>
      <c r="K99" s="191" t="n">
        <f aca="false">IFERROR(I99-J99,"")</f>
        <v>0</v>
      </c>
      <c r="L99" s="192" t="str">
        <f aca="false">IFERROR(K99/I99,"")</f>
        <v/>
      </c>
      <c r="M99" s="21" t="str">
        <f aca="false">IFERROR(IF(ABS(L99)&gt;0.2,"⚠ Alto",IF(ABS(L99)&gt;0.08,"⚡ Medio","✅ OK")),"—")</f>
        <v>—</v>
      </c>
    </row>
    <row r="100" customFormat="false" ht="18" hidden="false" customHeight="true" outlineLevel="0" collapsed="false">
      <c r="B100" s="193" t="s">
        <v>668</v>
      </c>
      <c r="C100" s="193"/>
      <c r="D100" s="193"/>
      <c r="E100" s="193"/>
      <c r="F100" s="193"/>
      <c r="G100" s="193"/>
      <c r="H100" s="193"/>
      <c r="I100" s="194" t="n">
        <f aca="false">SUM(I97:I99)</f>
        <v>0</v>
      </c>
      <c r="J100" s="194" t="n">
        <f aca="false">SUM(J97:J99)</f>
        <v>70.7019199999996</v>
      </c>
      <c r="K100" s="195" t="n">
        <f aca="false">SUM(K97:K99)</f>
        <v>-70.7019199999996</v>
      </c>
      <c r="L100" s="196" t="str">
        <f aca="false">IFERROR(K100/I100,"")</f>
        <v/>
      </c>
    </row>
    <row r="101" customFormat="false" ht="15.75" hidden="false" customHeight="true" outlineLevel="0" collapsed="false">
      <c r="B101" s="38" t="n">
        <v>16</v>
      </c>
      <c r="C101" s="22" t="s">
        <v>332</v>
      </c>
      <c r="D101" s="75" t="s">
        <v>320</v>
      </c>
      <c r="E101" s="94" t="s">
        <v>318</v>
      </c>
      <c r="F101" s="178" t="n">
        <v>31</v>
      </c>
      <c r="G101" s="199" t="n">
        <f aca="false">IFERROR(Irraggiamento_PVGIS!E42,0)</f>
        <v>0</v>
      </c>
      <c r="H101" s="200" t="n">
        <f aca="false">IFERROR(VLOOKUP(C101,DB_Impianti!C:K,9,0),"")</f>
        <v>0</v>
      </c>
      <c r="I101" s="46" t="n">
        <f aca="false">IFERROR(G101*H101*Analisi_Perdite!C37/1000,"")</f>
        <v>0</v>
      </c>
      <c r="J101" s="26" t="n">
        <f aca="false">IFERROR(SUMIFS(Fonte_Dati!E:E,Fonte_Dati!D:D,C101,Fonte_Dati!C:C,"Gennaio")/1000,0)</f>
        <v>7.46917800000006</v>
      </c>
      <c r="K101" s="197" t="n">
        <f aca="false">IFERROR(I101-J101,"")</f>
        <v>-7.46917800000006</v>
      </c>
      <c r="L101" s="198" t="str">
        <f aca="false">IFERROR(K101/I101,"")</f>
        <v/>
      </c>
      <c r="M101" s="25" t="str">
        <f aca="false">IFERROR(IF(ABS(L101)&gt;0.2,"⚠ Alto",IF(ABS(L101)&gt;0.08,"⚡ Medio","✅ OK")),"—")</f>
        <v>—</v>
      </c>
    </row>
    <row r="102" customFormat="false" ht="15.75" hidden="false" customHeight="true" outlineLevel="0" collapsed="false">
      <c r="B102" s="38" t="n">
        <v>16</v>
      </c>
      <c r="C102" s="22" t="s">
        <v>332</v>
      </c>
      <c r="D102" s="75" t="s">
        <v>320</v>
      </c>
      <c r="E102" s="95" t="s">
        <v>337</v>
      </c>
      <c r="F102" s="178" t="n">
        <v>28</v>
      </c>
      <c r="G102" s="199" t="n">
        <f aca="false">IFERROR(Irraggiamento_PVGIS!F42,0)</f>
        <v>0</v>
      </c>
      <c r="H102" s="200" t="n">
        <f aca="false">IFERROR(VLOOKUP(C102,DB_Impianti!C:K,9,0),"")</f>
        <v>0</v>
      </c>
      <c r="I102" s="46" t="n">
        <f aca="false">IFERROR(G102*H102*Analisi_Perdite!C37/1000,"")</f>
        <v>0</v>
      </c>
      <c r="J102" s="26" t="n">
        <f aca="false">IFERROR(SUMIFS(Fonte_Dati!E:E,Fonte_Dati!D:D,C102,Fonte_Dati!C:C,"Febbraio")/1000,0)</f>
        <v>11.6970420000002</v>
      </c>
      <c r="K102" s="197" t="n">
        <f aca="false">IFERROR(I102-J102,"")</f>
        <v>-11.6970420000002</v>
      </c>
      <c r="L102" s="198" t="str">
        <f aca="false">IFERROR(K102/I102,"")</f>
        <v/>
      </c>
      <c r="M102" s="25" t="str">
        <f aca="false">IFERROR(IF(ABS(L102)&gt;0.2,"⚠ Alto",IF(ABS(L102)&gt;0.08,"⚡ Medio","✅ OK")),"—")</f>
        <v>—</v>
      </c>
    </row>
    <row r="103" customFormat="false" ht="15.75" hidden="false" customHeight="true" outlineLevel="0" collapsed="false">
      <c r="B103" s="38" t="n">
        <v>16</v>
      </c>
      <c r="C103" s="22" t="s">
        <v>332</v>
      </c>
      <c r="D103" s="75" t="s">
        <v>320</v>
      </c>
      <c r="E103" s="96" t="s">
        <v>338</v>
      </c>
      <c r="F103" s="178" t="n">
        <v>31</v>
      </c>
      <c r="G103" s="199" t="n">
        <f aca="false">IFERROR(Irraggiamento_PVGIS!G42,0)</f>
        <v>0</v>
      </c>
      <c r="H103" s="200" t="n">
        <f aca="false">IFERROR(VLOOKUP(C103,DB_Impianti!C:K,9,0),"")</f>
        <v>0</v>
      </c>
      <c r="I103" s="46" t="n">
        <f aca="false">IFERROR(G103*H103*Analisi_Perdite!C37/1000,"")</f>
        <v>0</v>
      </c>
      <c r="J103" s="26" t="n">
        <f aca="false">IFERROR(SUMIFS(Fonte_Dati!E:E,Fonte_Dati!D:D,C103,Fonte_Dati!C:C,"Marzo")/1000,0)</f>
        <v>0</v>
      </c>
      <c r="K103" s="197" t="n">
        <f aca="false">IFERROR(I103-J103,"")</f>
        <v>0</v>
      </c>
      <c r="L103" s="198" t="str">
        <f aca="false">IFERROR(K103/I103,"")</f>
        <v/>
      </c>
      <c r="M103" s="25" t="str">
        <f aca="false">IFERROR(IF(ABS(L103)&gt;0.2,"⚠ Alto",IF(ABS(L103)&gt;0.08,"⚡ Medio","✅ OK")),"—")</f>
        <v>—</v>
      </c>
    </row>
    <row r="104" customFormat="false" ht="18" hidden="false" customHeight="true" outlineLevel="0" collapsed="false">
      <c r="B104" s="193" t="s">
        <v>669</v>
      </c>
      <c r="C104" s="193"/>
      <c r="D104" s="193"/>
      <c r="E104" s="193"/>
      <c r="F104" s="193"/>
      <c r="G104" s="193"/>
      <c r="H104" s="193"/>
      <c r="I104" s="194" t="n">
        <f aca="false">SUM(I101:I103)</f>
        <v>0</v>
      </c>
      <c r="J104" s="194" t="n">
        <f aca="false">SUM(J101:J103)</f>
        <v>19.1662200000003</v>
      </c>
      <c r="K104" s="195" t="n">
        <f aca="false">SUM(K101:K103)</f>
        <v>-19.1662200000003</v>
      </c>
      <c r="L104" s="196" t="str">
        <f aca="false">IFERROR(K104/I104,"")</f>
        <v/>
      </c>
    </row>
    <row r="105" customFormat="false" ht="24" hidden="false" customHeight="true" outlineLevel="0" collapsed="false">
      <c r="B105" s="201" t="s">
        <v>388</v>
      </c>
      <c r="C105" s="201"/>
      <c r="D105" s="201"/>
      <c r="E105" s="201"/>
      <c r="F105" s="201"/>
      <c r="G105" s="201"/>
      <c r="H105" s="201"/>
      <c r="I105" s="46" t="n">
        <f aca="false">IFERROR(SUMIF(B41:B104,"&gt;0",I41:I104),0)</f>
        <v>0</v>
      </c>
      <c r="J105" s="46" t="n">
        <f aca="false">IFERROR(SUMIF(B41:B104,"&gt;0",J41:J104),0)</f>
        <v>28821.9063422301</v>
      </c>
      <c r="K105" s="202" t="n">
        <f aca="false">IFERROR(SUMIF(B41:B104,"&gt;0",K41:K104),0)</f>
        <v>-28821.9063422301</v>
      </c>
      <c r="L105" s="203" t="str">
        <f aca="false">IFERROR(K105/I105,"")</f>
        <v/>
      </c>
    </row>
  </sheetData>
  <mergeCells count="24">
    <mergeCell ref="B1:M3"/>
    <mergeCell ref="B4:M5"/>
    <mergeCell ref="B7:D7"/>
    <mergeCell ref="B30:D30"/>
    <mergeCell ref="B31:D31"/>
    <mergeCell ref="B36:D36"/>
    <mergeCell ref="B39:M39"/>
    <mergeCell ref="B44:H44"/>
    <mergeCell ref="B48:H48"/>
    <mergeCell ref="B52:H52"/>
    <mergeCell ref="B56:H56"/>
    <mergeCell ref="B60:H60"/>
    <mergeCell ref="B64:H64"/>
    <mergeCell ref="B68:H68"/>
    <mergeCell ref="B72:H72"/>
    <mergeCell ref="B76:H76"/>
    <mergeCell ref="B80:H80"/>
    <mergeCell ref="B84:H84"/>
    <mergeCell ref="B88:H88"/>
    <mergeCell ref="B92:H92"/>
    <mergeCell ref="B96:H96"/>
    <mergeCell ref="B100:H100"/>
    <mergeCell ref="B104:H104"/>
    <mergeCell ref="B105:H10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2026-03-16T19:36:23Z</dcterms:created>
  <dc:creator>openpyxl</dc:creator>
  <dc:description/>
  <dc:language>en-US</dc:language>
  <cp:lastModifiedBy/>
  <dcterms:modified xsi:type="dcterms:W3CDTF">2026-03-18T11:46:16Z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